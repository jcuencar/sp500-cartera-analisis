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us Nervus\Desktop\sp500-cartera-analisis\excel\"/>
    </mc:Choice>
  </mc:AlternateContent>
  <xr:revisionPtr revIDLastSave="0" documentId="13_ncr:1_{4C838E2B-5F68-4CDD-972D-2F1C0840DE7D}" xr6:coauthVersionLast="47" xr6:coauthVersionMax="47" xr10:uidLastSave="{00000000-0000-0000-0000-000000000000}"/>
  <bookViews>
    <workbookView xWindow="14385" yWindow="45" windowWidth="14415" windowHeight="15390" activeTab="1" xr2:uid="{8AEAAAF1-D7D9-4C20-B8AF-FB019C2C5DA4}"/>
  </bookViews>
  <sheets>
    <sheet name="clusters" sheetId="3" r:id="rId1"/>
    <sheet name="cartera" sheetId="5" r:id="rId2"/>
    <sheet name="candidatas" sheetId="1" r:id="rId3"/>
  </sheets>
  <definedNames>
    <definedName name="DatosExternos_1" localSheetId="1" hidden="1">cartera!$A$1:$I$21</definedName>
    <definedName name="DatosExternos_1" localSheetId="0" hidden="1">clusters!$A$1:$H$243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/>
  <c r="O5" i="5" s="1"/>
  <c r="K3" i="5"/>
  <c r="K4" i="5"/>
  <c r="K10" i="5"/>
  <c r="K11" i="5"/>
  <c r="K12" i="5"/>
  <c r="K18" i="5"/>
  <c r="K19" i="5"/>
  <c r="K20" i="5"/>
  <c r="J2" i="5"/>
  <c r="O8" i="5" s="1"/>
  <c r="J3" i="5"/>
  <c r="J4" i="5"/>
  <c r="J5" i="5"/>
  <c r="K5" i="5" s="1"/>
  <c r="J6" i="5"/>
  <c r="K6" i="5" s="1"/>
  <c r="J7" i="5"/>
  <c r="K7" i="5" s="1"/>
  <c r="J8" i="5"/>
  <c r="K8" i="5" s="1"/>
  <c r="J9" i="5"/>
  <c r="K9" i="5" s="1"/>
  <c r="J10" i="5"/>
  <c r="J11" i="5"/>
  <c r="J12" i="5"/>
  <c r="J13" i="5"/>
  <c r="K13" i="5" s="1"/>
  <c r="J14" i="5"/>
  <c r="K14" i="5" s="1"/>
  <c r="J15" i="5"/>
  <c r="K15" i="5" s="1"/>
  <c r="J16" i="5"/>
  <c r="K16" i="5" s="1"/>
  <c r="J17" i="5"/>
  <c r="K17" i="5" s="1"/>
  <c r="J18" i="5"/>
  <c r="J19" i="5"/>
  <c r="J20" i="5"/>
  <c r="J21" i="5"/>
  <c r="K21" i="5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O4" i="5" l="1"/>
  <c r="O6" i="5"/>
  <c r="O7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A893D2-C6B7-44E3-8EF3-074E7D299B36}" keepAlive="1" name="Consulta - candidatas_con_clusters" description="Conexión a la consulta 'candidatas_con_clusters' en el libro." type="5" refreshedVersion="0" background="1">
    <dbPr connection="Provider=Microsoft.Mashup.OleDb.1;Data Source=$Workbook$;Location=candidatas_con_clusters;Extended Properties=&quot;&quot;" command="SELECT * FROM [candidatas_con_clusters]"/>
  </connection>
  <connection id="2" xr16:uid="{69D5EB0B-9E48-4DC3-B30B-594E6F53C26D}" keepAlive="1" name="Consulta - candidatas_con_clusters (2)" description="Conexión a la consulta 'candidatas_con_clusters (2)' en el libro." type="5" refreshedVersion="0" background="1">
    <dbPr connection="Provider=Microsoft.Mashup.OleDb.1;Data Source=$Workbook$;Location=&quot;candidatas_con_clusters (2)&quot;;Extended Properties=&quot;&quot;" command="SELECT * FROM [candidatas_con_clusters (2)]"/>
  </connection>
  <connection id="3" xr16:uid="{8604253B-1E9B-476F-A565-87DA673DC3F3}" keepAlive="1" name="Consulta - candidatas_con_clusters (3)" description="Conexión a la consulta 'candidatas_con_clusters (3)' en el libro." type="5" refreshedVersion="8" background="1" saveData="1">
    <dbPr connection="Provider=Microsoft.Mashup.OleDb.1;Data Source=$Workbook$;Location=&quot;candidatas_con_clusters (3)&quot;;Extended Properties=&quot;&quot;" command="SELECT * FROM [candidatas_con_clusters (3)]"/>
  </connection>
  <connection id="4" xr16:uid="{E6D61ACF-ADCC-479D-9029-571177EF4EF7}" keepAlive="1" name="Consulta - cartera_final_20empresas" description="Conexión a la consulta 'cartera_final_20empresas' en el libro." type="5" refreshedVersion="0" background="1">
    <dbPr connection="Provider=Microsoft.Mashup.OleDb.1;Data Source=$Workbook$;Location=cartera_final_20empresas;Extended Properties=&quot;&quot;" command="SELECT * FROM [cartera_final_20empresas]"/>
  </connection>
  <connection id="5" xr16:uid="{356BA8FC-E406-4947-A238-0F233C5A7957}" keepAlive="1" name="Consulta - cartera_final_20empresas (2)" description="Conexión a la consulta 'cartera_final_20empresas (2)' en el libro." type="5" refreshedVersion="0" background="1">
    <dbPr connection="Provider=Microsoft.Mashup.OleDb.1;Data Source=$Workbook$;Location=&quot;cartera_final_20empresas (2)&quot;;Extended Properties=&quot;&quot;" command="SELECT * FROM [cartera_final_20empresas (2)]"/>
  </connection>
  <connection id="6" xr16:uid="{2DE7D1F0-6F59-4B92-AACD-EF71F37C1F61}" keepAlive="1" name="Consulta - cartera_final_20empresas (3)" description="Conexión a la consulta 'cartera_final_20empresas (3)' en el libro." type="5" refreshedVersion="8" background="1" saveData="1">
    <dbPr connection="Provider=Microsoft.Mashup.OleDb.1;Data Source=$Workbook$;Location=&quot;cartera_final_20empresas (3)&quot;;Extended Properties=&quot;&quot;" command="SELECT * FROM [cartera_final_20empresas (3)]"/>
  </connection>
</connections>
</file>

<file path=xl/sharedStrings.xml><?xml version="1.0" encoding="utf-8"?>
<sst xmlns="http://schemas.openxmlformats.org/spreadsheetml/2006/main" count="1061" uniqueCount="265">
  <si>
    <t>ticker</t>
  </si>
  <si>
    <t>sector</t>
  </si>
  <si>
    <t>roe</t>
  </si>
  <si>
    <t>net_profit_margin</t>
  </si>
  <si>
    <t>debt_to_equity</t>
  </si>
  <si>
    <t>pe_ratio</t>
  </si>
  <si>
    <t>revenue_growth</t>
  </si>
  <si>
    <t>SHW</t>
  </si>
  <si>
    <t>Basic Materials</t>
  </si>
  <si>
    <t>CCR</t>
  </si>
  <si>
    <t>NEU</t>
  </si>
  <si>
    <t>BMCH</t>
  </si>
  <si>
    <t>LYB</t>
  </si>
  <si>
    <t>POPE</t>
  </si>
  <si>
    <t>ARLP</t>
  </si>
  <si>
    <t>PPG</t>
  </si>
  <si>
    <t>TREX</t>
  </si>
  <si>
    <t>CMP</t>
  </si>
  <si>
    <t>CINR</t>
  </si>
  <si>
    <t>SLCA</t>
  </si>
  <si>
    <t>IFF</t>
  </si>
  <si>
    <t>WDFC</t>
  </si>
  <si>
    <t>MERC</t>
  </si>
  <si>
    <t>MEOH</t>
  </si>
  <si>
    <t>AAON</t>
  </si>
  <si>
    <t>CSTE</t>
  </si>
  <si>
    <t>NP</t>
  </si>
  <si>
    <t>TANH</t>
  </si>
  <si>
    <t>WLK</t>
  </si>
  <si>
    <t>CE</t>
  </si>
  <si>
    <t>RPM</t>
  </si>
  <si>
    <t>FMC</t>
  </si>
  <si>
    <t>SWM</t>
  </si>
  <si>
    <t>BHP</t>
  </si>
  <si>
    <t>ECL</t>
  </si>
  <si>
    <t>IOSP</t>
  </si>
  <si>
    <t>KWR</t>
  </si>
  <si>
    <t>EXP</t>
  </si>
  <si>
    <t>UFS</t>
  </si>
  <si>
    <t>BCPC</t>
  </si>
  <si>
    <t>APD</t>
  </si>
  <si>
    <t>TREC</t>
  </si>
  <si>
    <t>USLM</t>
  </si>
  <si>
    <t>CENX</t>
  </si>
  <si>
    <t>MTX</t>
  </si>
  <si>
    <t>SBGL</t>
  </si>
  <si>
    <t>CBT</t>
  </si>
  <si>
    <t>MDU</t>
  </si>
  <si>
    <t>NTIC</t>
  </si>
  <si>
    <t>MMP</t>
  </si>
  <si>
    <t>Energy</t>
  </si>
  <si>
    <t>PNRG</t>
  </si>
  <si>
    <t>HEP</t>
  </si>
  <si>
    <t>EQM</t>
  </si>
  <si>
    <t>MPLX</t>
  </si>
  <si>
    <t>BSM</t>
  </si>
  <si>
    <t>OII</t>
  </si>
  <si>
    <t>WMB</t>
  </si>
  <si>
    <t>RES</t>
  </si>
  <si>
    <t>ENSV</t>
  </si>
  <si>
    <t>HAL</t>
  </si>
  <si>
    <t>PHX</t>
  </si>
  <si>
    <t>KOS</t>
  </si>
  <si>
    <t>WES</t>
  </si>
  <si>
    <t>CRZO</t>
  </si>
  <si>
    <t>SWN</t>
  </si>
  <si>
    <t>CLR</t>
  </si>
  <si>
    <t>RRC</t>
  </si>
  <si>
    <t>SSL</t>
  </si>
  <si>
    <t>PAA</t>
  </si>
  <si>
    <t>LPI</t>
  </si>
  <si>
    <t>IMO</t>
  </si>
  <si>
    <t>DRQ</t>
  </si>
  <si>
    <t>EOG</t>
  </si>
  <si>
    <t>NR</t>
  </si>
  <si>
    <t>ESTE</t>
  </si>
  <si>
    <t>EPD</t>
  </si>
  <si>
    <t>AR</t>
  </si>
  <si>
    <t>HP</t>
  </si>
  <si>
    <t>SLB</t>
  </si>
  <si>
    <t>DCP</t>
  </si>
  <si>
    <t>TAT</t>
  </si>
  <si>
    <t>PDCE</t>
  </si>
  <si>
    <t>CNQ</t>
  </si>
  <si>
    <t>ERF</t>
  </si>
  <si>
    <t>OIS</t>
  </si>
  <si>
    <t>FI</t>
  </si>
  <si>
    <t>PFIE</t>
  </si>
  <si>
    <t>MTDR</t>
  </si>
  <si>
    <t>FET</t>
  </si>
  <si>
    <t>NFG</t>
  </si>
  <si>
    <t>YPF</t>
  </si>
  <si>
    <t>NOV</t>
  </si>
  <si>
    <t>HLX</t>
  </si>
  <si>
    <t>NBL</t>
  </si>
  <si>
    <t>XEC</t>
  </si>
  <si>
    <t>CHK</t>
  </si>
  <si>
    <t>FANG</t>
  </si>
  <si>
    <t>PXD</t>
  </si>
  <si>
    <t>GPOR</t>
  </si>
  <si>
    <t>MUR</t>
  </si>
  <si>
    <t>BCEI</t>
  </si>
  <si>
    <t>SRCI</t>
  </si>
  <si>
    <t>CXO</t>
  </si>
  <si>
    <t>FTI</t>
  </si>
  <si>
    <t>TRP</t>
  </si>
  <si>
    <t>MCEP</t>
  </si>
  <si>
    <t>GLOP</t>
  </si>
  <si>
    <t>CPE</t>
  </si>
  <si>
    <t>EQT</t>
  </si>
  <si>
    <t>ENB</t>
  </si>
  <si>
    <t>DVN</t>
  </si>
  <si>
    <t>CKH</t>
  </si>
  <si>
    <t>NGS</t>
  </si>
  <si>
    <t>HOS</t>
  </si>
  <si>
    <t>PBA</t>
  </si>
  <si>
    <t>ENBL</t>
  </si>
  <si>
    <t>REI</t>
  </si>
  <si>
    <t>UNT</t>
  </si>
  <si>
    <t>PTEN</t>
  </si>
  <si>
    <t>TDW</t>
  </si>
  <si>
    <t>CPG</t>
  </si>
  <si>
    <t>GILD</t>
  </si>
  <si>
    <t>Healthcare</t>
  </si>
  <si>
    <t>MTD</t>
  </si>
  <si>
    <t>EW</t>
  </si>
  <si>
    <t>TARO</t>
  </si>
  <si>
    <t>CBPO</t>
  </si>
  <si>
    <t>CELG</t>
  </si>
  <si>
    <t>UTHR</t>
  </si>
  <si>
    <t>BIIB</t>
  </si>
  <si>
    <t>PMD</t>
  </si>
  <si>
    <t>VAR</t>
  </si>
  <si>
    <t>MYGN</t>
  </si>
  <si>
    <t>RDY</t>
  </si>
  <si>
    <t>BDX</t>
  </si>
  <si>
    <t>ENTA</t>
  </si>
  <si>
    <t>CBM</t>
  </si>
  <si>
    <t>CHE</t>
  </si>
  <si>
    <t>ANIK</t>
  </si>
  <si>
    <t>LIVN</t>
  </si>
  <si>
    <t>ANIP</t>
  </si>
  <si>
    <t>AMGN</t>
  </si>
  <si>
    <t>ALXN</t>
  </si>
  <si>
    <t>CI</t>
  </si>
  <si>
    <t>LCI</t>
  </si>
  <si>
    <t>ALGN</t>
  </si>
  <si>
    <t>CRL</t>
  </si>
  <si>
    <t>JNJ</t>
  </si>
  <si>
    <t>ATRI</t>
  </si>
  <si>
    <t>ICLR</t>
  </si>
  <si>
    <t>LH</t>
  </si>
  <si>
    <t>GRFS</t>
  </si>
  <si>
    <t>GMED</t>
  </si>
  <si>
    <t>UHS</t>
  </si>
  <si>
    <t>MD</t>
  </si>
  <si>
    <t>DVA</t>
  </si>
  <si>
    <t>TECH</t>
  </si>
  <si>
    <t>WST</t>
  </si>
  <si>
    <t>USPH</t>
  </si>
  <si>
    <t>DGX</t>
  </si>
  <si>
    <t>VNDA</t>
  </si>
  <si>
    <t>SNN</t>
  </si>
  <si>
    <t>LMNX</t>
  </si>
  <si>
    <t>CMD</t>
  </si>
  <si>
    <t>FMS</t>
  </si>
  <si>
    <t>COO</t>
  </si>
  <si>
    <t>A</t>
  </si>
  <si>
    <t>TFX</t>
  </si>
  <si>
    <t>IRMD</t>
  </si>
  <si>
    <t>ACHC</t>
  </si>
  <si>
    <t>TMO</t>
  </si>
  <si>
    <t>NEOG</t>
  </si>
  <si>
    <t>CO</t>
  </si>
  <si>
    <t>TRIB</t>
  </si>
  <si>
    <t>MSON</t>
  </si>
  <si>
    <t>MANH</t>
  </si>
  <si>
    <t>Technology</t>
  </si>
  <si>
    <t>SFUN</t>
  </si>
  <si>
    <t>EGOV</t>
  </si>
  <si>
    <t>AAPL</t>
  </si>
  <si>
    <t>YY</t>
  </si>
  <si>
    <t>ITRN</t>
  </si>
  <si>
    <t>XPER</t>
  </si>
  <si>
    <t>INTU</t>
  </si>
  <si>
    <t>MU</t>
  </si>
  <si>
    <t>TXN</t>
  </si>
  <si>
    <t>BIDU</t>
  </si>
  <si>
    <t>TSM</t>
  </si>
  <si>
    <t>MSFT</t>
  </si>
  <si>
    <t>MEI</t>
  </si>
  <si>
    <t>MNDO</t>
  </si>
  <si>
    <t>APH</t>
  </si>
  <si>
    <t>BITA</t>
  </si>
  <si>
    <t>XLNX</t>
  </si>
  <si>
    <t>FFIV</t>
  </si>
  <si>
    <t>WIT</t>
  </si>
  <si>
    <t>INFY</t>
  </si>
  <si>
    <t>INTC</t>
  </si>
  <si>
    <t>FICO</t>
  </si>
  <si>
    <t>ATHM</t>
  </si>
  <si>
    <t>QCOM</t>
  </si>
  <si>
    <t>NTES</t>
  </si>
  <si>
    <t>QLYS</t>
  </si>
  <si>
    <t>GLOB</t>
  </si>
  <si>
    <t>TEL</t>
  </si>
  <si>
    <t>SLP</t>
  </si>
  <si>
    <t>IPGP</t>
  </si>
  <si>
    <t>CTSH</t>
  </si>
  <si>
    <t>MCHP</t>
  </si>
  <si>
    <t>MTCH</t>
  </si>
  <si>
    <t>CHKP</t>
  </si>
  <si>
    <t>SWKS</t>
  </si>
  <si>
    <t>AME</t>
  </si>
  <si>
    <t>STMP</t>
  </si>
  <si>
    <t>HUBB</t>
  </si>
  <si>
    <t>CGNX</t>
  </si>
  <si>
    <t>EVOL</t>
  </si>
  <si>
    <t>AMBA</t>
  </si>
  <si>
    <t>PLT</t>
  </si>
  <si>
    <t>SPWR</t>
  </si>
  <si>
    <t>FENG</t>
  </si>
  <si>
    <t>JCOM</t>
  </si>
  <si>
    <t>ASX</t>
  </si>
  <si>
    <t>EPAM</t>
  </si>
  <si>
    <t>SIMO</t>
  </si>
  <si>
    <t>GSB</t>
  </si>
  <si>
    <t>MLAB</t>
  </si>
  <si>
    <t>CVLT</t>
  </si>
  <si>
    <t>BMI</t>
  </si>
  <si>
    <t>AMAT</t>
  </si>
  <si>
    <t>GOOGL</t>
  </si>
  <si>
    <t>LFUS</t>
  </si>
  <si>
    <t>OTEX</t>
  </si>
  <si>
    <t>ADI</t>
  </si>
  <si>
    <t>NVMI</t>
  </si>
  <si>
    <t>AGYS</t>
  </si>
  <si>
    <t>CDK</t>
  </si>
  <si>
    <t>LRCX</t>
  </si>
  <si>
    <t>DOX</t>
  </si>
  <si>
    <t>ANET</t>
  </si>
  <si>
    <t>NTCT</t>
  </si>
  <si>
    <t>VMW</t>
  </si>
  <si>
    <t>CLFD</t>
  </si>
  <si>
    <t>CTXS</t>
  </si>
  <si>
    <t>ANSS</t>
  </si>
  <si>
    <t>GLW</t>
  </si>
  <si>
    <t>AKAM</t>
  </si>
  <si>
    <t>NATI</t>
  </si>
  <si>
    <t>GRMN</t>
  </si>
  <si>
    <t>MKSI</t>
  </si>
  <si>
    <t>FIS</t>
  </si>
  <si>
    <t>INTT</t>
  </si>
  <si>
    <t>cluster</t>
  </si>
  <si>
    <t>score_total</t>
  </si>
  <si>
    <t>0</t>
  </si>
  <si>
    <t>2</t>
  </si>
  <si>
    <t>peso_%</t>
  </si>
  <si>
    <t>inversion_eur</t>
  </si>
  <si>
    <t>Nº empresas</t>
  </si>
  <si>
    <t>Total invertido (€)</t>
  </si>
  <si>
    <t>ROE medio ponderado</t>
  </si>
  <si>
    <t>Margen medio ponderado</t>
  </si>
  <si>
    <t>Deuda media ponderada</t>
  </si>
  <si>
    <t>RESUMEN CARTERA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</si>
</sst>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0" fillId="34" borderId="10" xfId="0" applyFill="1" applyBorder="1"/>
    <xf numFmtId="0" fontId="0" fillId="34" borderId="11" xfId="0" applyFill="1" applyBorder="1"/>
    <xf numFmtId="0" fontId="0" fillId="34" borderId="12" xfId="0" applyFill="1" applyBorder="1"/>
    <xf numFmtId="0" fontId="13" fillId="33" borderId="13" xfId="0" applyFont="1" applyFill="1" applyBorder="1"/>
    <xf numFmtId="0" fontId="13" fillId="33" borderId="14" xfId="0" applyFont="1" applyFill="1" applyBorder="1"/>
    <xf numFmtId="164" fontId="13" fillId="33" borderId="15" xfId="0" applyNumberFormat="1" applyFont="1" applyFill="1" applyBorder="1"/>
    <xf numFmtId="0" fontId="0" fillId="34" borderId="13" xfId="0" applyFill="1" applyBorder="1"/>
    <xf numFmtId="0" fontId="0" fillId="34" borderId="14" xfId="0" applyFill="1" applyBorder="1"/>
    <xf numFmtId="164" fontId="0" fillId="34" borderId="15" xfId="0" applyNumberForma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34" borderId="15" xfId="0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46D859-A3AF-4A71-B6E2-689B66A1FCD6}" autoFormatId="16" applyNumberFormats="0" applyBorderFormats="0" applyFontFormats="0" applyPatternFormats="0" applyAlignmentFormats="0" applyWidthHeightFormats="0">
  <queryTableRefresh nextId="9">
    <queryTableFields count="8">
      <queryTableField id="1" name="ticker" tableColumnId="1"/>
      <queryTableField id="2" name="sector" tableColumnId="2"/>
      <queryTableField id="3" name="roe" tableColumnId="3"/>
      <queryTableField id="4" name="net_profit_margin" tableColumnId="4"/>
      <queryTableField id="5" name="debt_to_equity" tableColumnId="5"/>
      <queryTableField id="6" name="pe_ratio" tableColumnId="6"/>
      <queryTableField id="7" name="revenue_growth" tableColumnId="7"/>
      <queryTableField id="8" name="cluste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703A774C-D3B9-4C17-ABF1-FB9CB1337908}" autoFormatId="16" applyNumberFormats="0" applyBorderFormats="0" applyFontFormats="0" applyPatternFormats="0" applyAlignmentFormats="0" applyWidthHeightFormats="0">
  <queryTableRefresh nextId="12" unboundColumnsRight="2">
    <queryTableFields count="11">
      <queryTableField id="1" name="ticker" tableColumnId="1"/>
      <queryTableField id="2" name="sector" tableColumnId="2"/>
      <queryTableField id="3" name="cluster" tableColumnId="3"/>
      <queryTableField id="4" name="roe" tableColumnId="4"/>
      <queryTableField id="5" name="net_profit_margin" tableColumnId="5"/>
      <queryTableField id="6" name="debt_to_equity" tableColumnId="6"/>
      <queryTableField id="7" name="pe_ratio" tableColumnId="7"/>
      <queryTableField id="8" name="revenue_growth" tableColumnId="8"/>
      <queryTableField id="9" name="score_total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1F396B-21B3-47BD-9869-626466D2AECA}" name="candidatas_con_clusters__3" displayName="candidatas_con_clusters__3" ref="A1:H243" tableType="queryTable" totalsRowShown="0">
  <autoFilter ref="A1:H243" xr:uid="{AE1F396B-21B3-47BD-9869-626466D2AECA}"/>
  <tableColumns count="8">
    <tableColumn id="1" xr3:uid="{9675F67F-9EC7-4F19-9E68-71260B598FEC}" uniqueName="1" name="ticker" queryTableFieldId="1" dataDxfId="2"/>
    <tableColumn id="2" xr3:uid="{843DF9CB-847B-4AA2-938B-1B7D313FE215}" uniqueName="2" name="sector" queryTableFieldId="2" dataDxfId="1"/>
    <tableColumn id="3" xr3:uid="{30B7FE35-1D76-4700-B49C-B9BD793B45BE}" uniqueName="3" name="roe" queryTableFieldId="3"/>
    <tableColumn id="4" xr3:uid="{619F15B5-7885-459D-9816-1ADCEE438496}" uniqueName="4" name="net_profit_margin" queryTableFieldId="4"/>
    <tableColumn id="5" xr3:uid="{C9261753-8FE3-4C82-9866-095205407047}" uniqueName="5" name="debt_to_equity" queryTableFieldId="5"/>
    <tableColumn id="6" xr3:uid="{40D95383-6D57-4990-9DFD-FCCAB8B808F8}" uniqueName="6" name="pe_ratio" queryTableFieldId="6"/>
    <tableColumn id="7" xr3:uid="{D55D5398-BFF3-446C-8FF9-B6CB1AF1F73F}" uniqueName="7" name="revenue_growth" queryTableFieldId="7"/>
    <tableColumn id="8" xr3:uid="{18847812-5CDD-4EC3-A3BF-067263028A8B}" uniqueName="8" name="cluster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14E951-3E9F-40FC-8FA4-24BF9697EC37}" name="cartera_final_20empresas__3" displayName="cartera_final_20empresas__3" ref="A1:K21" tableType="queryTable" totalsRowShown="0">
  <autoFilter ref="A1:K21" xr:uid="{6A14E951-3E9F-40FC-8FA4-24BF9697EC37}"/>
  <tableColumns count="11">
    <tableColumn id="1" xr3:uid="{9AB4C27E-4F4B-4CD9-9E58-72B9EFC80A56}" uniqueName="1" name="ticker" queryTableFieldId="1" dataDxfId="7"/>
    <tableColumn id="2" xr3:uid="{E1D4AD6F-2EA7-49A4-94FD-655F05CC4A49}" uniqueName="2" name="sector" queryTableFieldId="2" dataDxfId="6"/>
    <tableColumn id="3" xr3:uid="{2B70A2F0-4CE4-49B7-BBE7-E64E782CA87B}" uniqueName="3" name="cluster" queryTableFieldId="3" dataDxfId="5"/>
    <tableColumn id="4" xr3:uid="{9824D0FC-9DFF-4688-954F-F1763B1C94B5}" uniqueName="4" name="roe" queryTableFieldId="4"/>
    <tableColumn id="5" xr3:uid="{B18F481B-38D3-4E37-BDBC-95AFD6426684}" uniqueName="5" name="net_profit_margin" queryTableFieldId="5"/>
    <tableColumn id="6" xr3:uid="{996E3606-B94E-4215-9EB2-2F923476CED0}" uniqueName="6" name="debt_to_equity" queryTableFieldId="6"/>
    <tableColumn id="7" xr3:uid="{D46F745C-E47D-4801-A76C-E57BC85C4EAA}" uniqueName="7" name="pe_ratio" queryTableFieldId="7"/>
    <tableColumn id="8" xr3:uid="{0E1F74AE-FE64-44A2-A19E-6550C68ED766}" uniqueName="8" name="revenue_growth" queryTableFieldId="8"/>
    <tableColumn id="9" xr3:uid="{42E1AAAC-91AE-469A-AA54-46AF7959CC65}" uniqueName="9" name="score_total" queryTableFieldId="9"/>
    <tableColumn id="10" xr3:uid="{6B3EB127-8781-4A0A-81AB-C8533C565114}" uniqueName="10" name="peso_%" queryTableFieldId="10" dataDxfId="4">
      <calculatedColumnFormula>I2/SUM($I$2:$I$21)</calculatedColumnFormula>
    </tableColumn>
    <tableColumn id="11" xr3:uid="{9062EB8C-873A-4DF7-AA74-A76F80F3B5A4}" uniqueName="11" name="inversion_eur" queryTableFieldId="11" dataDxfId="3">
      <calculatedColumnFormula>ROUND(J2*50000,2)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33785-D27D-447A-955F-78044C72F4EE}" name="Tabla1" displayName="Tabla1" ref="A1:H243" totalsRowShown="0">
  <autoFilter ref="A1:H243" xr:uid="{96533785-D27D-447A-955F-78044C72F4EE}"/>
  <tableColumns count="8">
    <tableColumn id="1" xr3:uid="{708B353F-F7DC-41A4-AA45-81C6DD382F1F}" name="ticker"/>
    <tableColumn id="2" xr3:uid="{5BF0BBAC-0C71-4855-AE1C-CFEBBBAD812F}" name="sector"/>
    <tableColumn id="3" xr3:uid="{9DEA2BEE-2972-4A79-B5FB-C993C7A06BE9}" name="roe"/>
    <tableColumn id="4" xr3:uid="{FCB27D53-E4BF-4CE7-BAE8-4E5450476A3D}" name="net_profit_margin"/>
    <tableColumn id="5" xr3:uid="{BCC27904-87B7-4EE7-984A-59697F315AA4}" name="debt_to_equity"/>
    <tableColumn id="6" xr3:uid="{80D07911-5625-4879-B9EB-9DE358643A21}" name="pe_ratio"/>
    <tableColumn id="7" xr3:uid="{96AEB36B-4EE1-4F54-A61E-64775DB0417E}" name="revenue_growth"/>
    <tableColumn id="8" xr3:uid="{9006945E-DC6E-4C02-A05F-E0D2739478BD}" name="cluster" dataDxfId="0">
      <calculatedColumnFormula>_xlfn.XLOOKUP(A2,candidatas_con_clusters__3[ticker],candidatas_con_clusters__3[cluster],"No encontrado")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6F7EF-80A5-4C4A-B0BE-E056202C4BF5}">
  <dimension ref="A1:H243"/>
  <sheetViews>
    <sheetView workbookViewId="0"/>
  </sheetViews>
  <sheetFormatPr baseColWidth="10" defaultRowHeight="15" x14ac:dyDescent="0.25"/>
  <cols>
    <col min="1" max="1" width="8.42578125" bestFit="1" customWidth="1"/>
    <col min="2" max="2" width="14.5703125" bestFit="1" customWidth="1"/>
    <col min="3" max="3" width="9" bestFit="1" customWidth="1"/>
    <col min="4" max="4" width="19.28515625" bestFit="1" customWidth="1"/>
    <col min="5" max="5" width="16.7109375" bestFit="1" customWidth="1"/>
    <col min="6" max="6" width="10.5703125" bestFit="1" customWidth="1"/>
    <col min="7" max="7" width="17.7109375" bestFit="1" customWidth="1"/>
    <col min="8" max="8" width="9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253</v>
      </c>
    </row>
    <row r="2" spans="1:8" x14ac:dyDescent="0.25">
      <c r="A2" t="s">
        <v>43</v>
      </c>
      <c r="B2" t="s">
        <v>8</v>
      </c>
      <c r="C2">
        <v>1144</v>
      </c>
      <c r="D2">
        <v>655</v>
      </c>
      <c r="E2">
        <v>2305</v>
      </c>
      <c r="F2">
        <v>18626</v>
      </c>
      <c r="G2">
        <v>3278</v>
      </c>
      <c r="H2">
        <v>3</v>
      </c>
    </row>
    <row r="3" spans="1:8" x14ac:dyDescent="0.25">
      <c r="A3" t="s">
        <v>29</v>
      </c>
      <c r="B3" t="s">
        <v>8</v>
      </c>
      <c r="C3">
        <v>2214</v>
      </c>
      <c r="D3">
        <v>917</v>
      </c>
      <c r="E3">
        <v>9663</v>
      </c>
      <c r="F3">
        <v>148784</v>
      </c>
      <c r="G3">
        <v>449</v>
      </c>
      <c r="H3">
        <v>1</v>
      </c>
    </row>
    <row r="4" spans="1:8" x14ac:dyDescent="0.25">
      <c r="A4" t="s">
        <v>19</v>
      </c>
      <c r="B4" t="s">
        <v>8</v>
      </c>
      <c r="C4">
        <v>301</v>
      </c>
      <c r="D4">
        <v>1386</v>
      </c>
      <c r="E4">
        <v>1226</v>
      </c>
      <c r="F4">
        <v>113673</v>
      </c>
      <c r="G4">
        <v>6058</v>
      </c>
      <c r="H4">
        <v>1</v>
      </c>
    </row>
    <row r="5" spans="1:8" x14ac:dyDescent="0.25">
      <c r="A5" t="s">
        <v>12</v>
      </c>
      <c r="B5" t="s">
        <v>8</v>
      </c>
      <c r="C5">
        <v>502</v>
      </c>
      <c r="D5">
        <v>915</v>
      </c>
      <c r="E5">
        <v>8474</v>
      </c>
      <c r="F5">
        <v>98867</v>
      </c>
      <c r="G5">
        <v>351</v>
      </c>
      <c r="H5">
        <v>1</v>
      </c>
    </row>
    <row r="6" spans="1:8" x14ac:dyDescent="0.25">
      <c r="A6" t="s">
        <v>23</v>
      </c>
      <c r="B6" t="s">
        <v>8</v>
      </c>
      <c r="C6">
        <v>2545</v>
      </c>
      <c r="D6">
        <v>141</v>
      </c>
      <c r="E6">
        <v>9971</v>
      </c>
      <c r="F6">
        <v>95678</v>
      </c>
      <c r="G6">
        <v>659</v>
      </c>
      <c r="H6">
        <v>1</v>
      </c>
    </row>
    <row r="7" spans="1:8" x14ac:dyDescent="0.25">
      <c r="A7" t="s">
        <v>14</v>
      </c>
      <c r="B7" t="s">
        <v>8</v>
      </c>
      <c r="C7">
        <v>4901</v>
      </c>
      <c r="D7">
        <v>2161</v>
      </c>
      <c r="E7">
        <v>8261</v>
      </c>
      <c r="F7">
        <v>90252</v>
      </c>
      <c r="G7">
        <v>431</v>
      </c>
      <c r="H7">
        <v>1</v>
      </c>
    </row>
    <row r="8" spans="1:8" x14ac:dyDescent="0.25">
      <c r="A8" t="s">
        <v>33</v>
      </c>
      <c r="B8" t="s">
        <v>8</v>
      </c>
      <c r="C8">
        <v>1748</v>
      </c>
      <c r="D8">
        <v>2437</v>
      </c>
      <c r="E8">
        <v>4411</v>
      </c>
      <c r="F8">
        <v>263269</v>
      </c>
      <c r="G8">
        <v>539</v>
      </c>
      <c r="H8">
        <v>3</v>
      </c>
    </row>
    <row r="9" spans="1:8" x14ac:dyDescent="0.25">
      <c r="A9" t="s">
        <v>46</v>
      </c>
      <c r="B9" t="s">
        <v>8</v>
      </c>
      <c r="C9">
        <v>1025</v>
      </c>
      <c r="D9">
        <v>546</v>
      </c>
      <c r="E9">
        <v>552</v>
      </c>
      <c r="F9">
        <v>165915</v>
      </c>
      <c r="G9">
        <v>553</v>
      </c>
      <c r="H9">
        <v>3</v>
      </c>
    </row>
    <row r="10" spans="1:8" x14ac:dyDescent="0.25">
      <c r="A10" t="s">
        <v>31</v>
      </c>
      <c r="B10" t="s">
        <v>8</v>
      </c>
      <c r="C10">
        <v>2009</v>
      </c>
      <c r="D10">
        <v>944</v>
      </c>
      <c r="E10">
        <v>11201</v>
      </c>
      <c r="F10">
        <v>215053</v>
      </c>
      <c r="G10">
        <v>409</v>
      </c>
      <c r="H10">
        <v>1</v>
      </c>
    </row>
    <row r="11" spans="1:8" x14ac:dyDescent="0.25">
      <c r="A11" t="s">
        <v>11</v>
      </c>
      <c r="B11" t="s">
        <v>8</v>
      </c>
      <c r="C11">
        <v>5251</v>
      </c>
      <c r="D11">
        <v>717</v>
      </c>
      <c r="E11">
        <v>15083</v>
      </c>
      <c r="F11">
        <v>63306</v>
      </c>
      <c r="G11">
        <v>837</v>
      </c>
      <c r="H11">
        <v>1</v>
      </c>
    </row>
    <row r="12" spans="1:8" x14ac:dyDescent="0.25">
      <c r="A12" t="s">
        <v>45</v>
      </c>
      <c r="B12" t="s">
        <v>8</v>
      </c>
      <c r="C12">
        <v>1059</v>
      </c>
      <c r="D12">
        <v>712</v>
      </c>
      <c r="E12">
        <v>2163</v>
      </c>
      <c r="F12">
        <v>122146</v>
      </c>
      <c r="G12">
        <v>222</v>
      </c>
      <c r="H12">
        <v>3</v>
      </c>
    </row>
    <row r="13" spans="1:8" x14ac:dyDescent="0.25">
      <c r="A13" t="s">
        <v>37</v>
      </c>
      <c r="B13" t="s">
        <v>8</v>
      </c>
      <c r="C13">
        <v>1494</v>
      </c>
      <c r="D13">
        <v>1383</v>
      </c>
      <c r="E13">
        <v>4585</v>
      </c>
      <c r="F13">
        <v>350435</v>
      </c>
      <c r="G13">
        <v>3981</v>
      </c>
      <c r="H13">
        <v>0</v>
      </c>
    </row>
    <row r="14" spans="1:8" x14ac:dyDescent="0.25">
      <c r="A14" t="s">
        <v>47</v>
      </c>
      <c r="B14" t="s">
        <v>8</v>
      </c>
      <c r="C14">
        <v>952</v>
      </c>
      <c r="D14">
        <v>725</v>
      </c>
      <c r="E14">
        <v>6681</v>
      </c>
      <c r="F14">
        <v>151613</v>
      </c>
      <c r="G14">
        <v>497</v>
      </c>
      <c r="H14">
        <v>3</v>
      </c>
    </row>
    <row r="15" spans="1:8" x14ac:dyDescent="0.25">
      <c r="A15" t="s">
        <v>34</v>
      </c>
      <c r="B15" t="s">
        <v>8</v>
      </c>
      <c r="C15">
        <v>1644</v>
      </c>
      <c r="D15">
        <v>842</v>
      </c>
      <c r="E15">
        <v>8951</v>
      </c>
      <c r="F15">
        <v>260648</v>
      </c>
      <c r="G15">
        <v>775</v>
      </c>
      <c r="H15">
        <v>3</v>
      </c>
    </row>
    <row r="16" spans="1:8" x14ac:dyDescent="0.25">
      <c r="A16" t="s">
        <v>15</v>
      </c>
      <c r="B16" t="s">
        <v>8</v>
      </c>
      <c r="C16">
        <v>4058</v>
      </c>
      <c r="D16">
        <v>1421</v>
      </c>
      <c r="E16">
        <v>7749</v>
      </c>
      <c r="F16">
        <v>152072</v>
      </c>
      <c r="G16">
        <v>369</v>
      </c>
      <c r="H16">
        <v>1</v>
      </c>
    </row>
    <row r="17" spans="1:8" x14ac:dyDescent="0.25">
      <c r="A17" t="s">
        <v>7</v>
      </c>
      <c r="B17" t="s">
        <v>8</v>
      </c>
      <c r="C17">
        <v>8690000000000001</v>
      </c>
      <c r="D17">
        <v>778</v>
      </c>
      <c r="E17">
        <v>18051</v>
      </c>
      <c r="F17">
        <v>292267</v>
      </c>
      <c r="G17">
        <v>927</v>
      </c>
      <c r="H17">
        <v>1</v>
      </c>
    </row>
    <row r="18" spans="1:8" x14ac:dyDescent="0.25">
      <c r="A18" t="s">
        <v>38</v>
      </c>
      <c r="B18" t="s">
        <v>8</v>
      </c>
      <c r="C18">
        <v>1491</v>
      </c>
      <c r="D18">
        <v>775</v>
      </c>
      <c r="E18">
        <v>4706</v>
      </c>
      <c r="F18">
        <v>60481</v>
      </c>
      <c r="G18">
        <v>319</v>
      </c>
      <c r="H18">
        <v>3</v>
      </c>
    </row>
    <row r="19" spans="1:8" x14ac:dyDescent="0.25">
      <c r="A19" t="s">
        <v>30</v>
      </c>
      <c r="B19" t="s">
        <v>8</v>
      </c>
      <c r="C19">
        <v>2109</v>
      </c>
      <c r="D19">
        <v>666</v>
      </c>
      <c r="E19">
        <v>9774</v>
      </c>
      <c r="F19">
        <v>196273</v>
      </c>
      <c r="G19">
        <v>73</v>
      </c>
      <c r="H19">
        <v>1</v>
      </c>
    </row>
    <row r="20" spans="1:8" x14ac:dyDescent="0.25">
      <c r="A20" t="s">
        <v>17</v>
      </c>
      <c r="B20" t="s">
        <v>8</v>
      </c>
      <c r="C20">
        <v>3334</v>
      </c>
      <c r="D20">
        <v>1699</v>
      </c>
      <c r="E20">
        <v>9584</v>
      </c>
      <c r="F20">
        <v>13462</v>
      </c>
      <c r="G20">
        <v>1354</v>
      </c>
      <c r="H20">
        <v>1</v>
      </c>
    </row>
    <row r="21" spans="1:8" x14ac:dyDescent="0.25">
      <c r="A21" t="s">
        <v>20</v>
      </c>
      <c r="B21" t="s">
        <v>8</v>
      </c>
      <c r="C21">
        <v>273</v>
      </c>
      <c r="D21">
        <v>1342</v>
      </c>
      <c r="E21">
        <v>6205</v>
      </c>
      <c r="F21">
        <v>199136</v>
      </c>
      <c r="G21">
        <v>459</v>
      </c>
      <c r="H21">
        <v>3</v>
      </c>
    </row>
    <row r="22" spans="1:8" x14ac:dyDescent="0.25">
      <c r="A22" t="s">
        <v>28</v>
      </c>
      <c r="B22" t="s">
        <v>8</v>
      </c>
      <c r="C22">
        <v>233</v>
      </c>
      <c r="D22">
        <v>1537</v>
      </c>
      <c r="E22">
        <v>2624</v>
      </c>
      <c r="F22">
        <v>12002</v>
      </c>
      <c r="G22">
        <v>1745</v>
      </c>
      <c r="H22">
        <v>3</v>
      </c>
    </row>
    <row r="23" spans="1:8" x14ac:dyDescent="0.25">
      <c r="A23" t="s">
        <v>40</v>
      </c>
      <c r="B23" t="s">
        <v>8</v>
      </c>
      <c r="C23">
        <v>1346</v>
      </c>
      <c r="D23">
        <v>95</v>
      </c>
      <c r="E23">
        <v>8307</v>
      </c>
      <c r="F23">
        <v>258424</v>
      </c>
      <c r="G23">
        <v>254</v>
      </c>
      <c r="H23">
        <v>3</v>
      </c>
    </row>
    <row r="24" spans="1:8" x14ac:dyDescent="0.25">
      <c r="A24" t="s">
        <v>25</v>
      </c>
      <c r="B24" t="s">
        <v>8</v>
      </c>
      <c r="C24">
        <v>2443</v>
      </c>
      <c r="D24">
        <v>1753</v>
      </c>
      <c r="E24">
        <v>404</v>
      </c>
      <c r="F24">
        <v>265867</v>
      </c>
      <c r="G24">
        <v>2548</v>
      </c>
      <c r="H24">
        <v>0</v>
      </c>
    </row>
    <row r="25" spans="1:8" x14ac:dyDescent="0.25">
      <c r="A25" t="s">
        <v>32</v>
      </c>
      <c r="B25" t="s">
        <v>8</v>
      </c>
      <c r="C25">
        <v>1834</v>
      </c>
      <c r="D25">
        <v>1129</v>
      </c>
      <c r="E25">
        <v>8955</v>
      </c>
      <c r="F25">
        <v>143878</v>
      </c>
      <c r="G25">
        <v>278</v>
      </c>
      <c r="H25">
        <v>3</v>
      </c>
    </row>
    <row r="26" spans="1:8" x14ac:dyDescent="0.25">
      <c r="A26" t="s">
        <v>22</v>
      </c>
      <c r="B26" t="s">
        <v>8</v>
      </c>
      <c r="C26">
        <v>2578</v>
      </c>
      <c r="D26">
        <v>963</v>
      </c>
      <c r="E26">
        <v>15699</v>
      </c>
      <c r="F26">
        <v>67527</v>
      </c>
      <c r="G26">
        <v>797</v>
      </c>
      <c r="H26">
        <v>1</v>
      </c>
    </row>
    <row r="27" spans="1:8" x14ac:dyDescent="0.25">
      <c r="A27" t="s">
        <v>44</v>
      </c>
      <c r="B27" t="s">
        <v>8</v>
      </c>
      <c r="C27">
        <v>1071</v>
      </c>
      <c r="D27">
        <v>536</v>
      </c>
      <c r="E27">
        <v>16632</v>
      </c>
      <c r="F27">
        <v>259142</v>
      </c>
      <c r="G27">
        <v>6942</v>
      </c>
      <c r="H27">
        <v>1</v>
      </c>
    </row>
    <row r="28" spans="1:8" x14ac:dyDescent="0.25">
      <c r="A28" t="s">
        <v>16</v>
      </c>
      <c r="B28" t="s">
        <v>8</v>
      </c>
      <c r="C28">
        <v>3662</v>
      </c>
      <c r="D28">
        <v>106</v>
      </c>
      <c r="E28">
        <v>0</v>
      </c>
      <c r="F28">
        <v>332656</v>
      </c>
      <c r="G28">
        <v>1435</v>
      </c>
      <c r="H28">
        <v>0</v>
      </c>
    </row>
    <row r="29" spans="1:8" x14ac:dyDescent="0.25">
      <c r="A29" t="s">
        <v>24</v>
      </c>
      <c r="B29" t="s">
        <v>8</v>
      </c>
      <c r="C29">
        <v>2537</v>
      </c>
      <c r="D29">
        <v>1239</v>
      </c>
      <c r="E29">
        <v>0</v>
      </c>
      <c r="F29">
        <v>27642</v>
      </c>
      <c r="G29">
        <v>1096</v>
      </c>
      <c r="H29">
        <v>0</v>
      </c>
    </row>
    <row r="30" spans="1:8" x14ac:dyDescent="0.25">
      <c r="A30" t="s">
        <v>10</v>
      </c>
      <c r="B30" t="s">
        <v>8</v>
      </c>
      <c r="C30">
        <v>5539999999999999</v>
      </c>
      <c r="D30">
        <v>999</v>
      </c>
      <c r="E30">
        <v>8634</v>
      </c>
      <c r="F30">
        <v>219548</v>
      </c>
      <c r="G30">
        <v>241</v>
      </c>
      <c r="H30">
        <v>1</v>
      </c>
    </row>
    <row r="31" spans="1:8" x14ac:dyDescent="0.25">
      <c r="A31" t="s">
        <v>39</v>
      </c>
      <c r="B31" t="s">
        <v>8</v>
      </c>
      <c r="C31">
        <v>1348</v>
      </c>
      <c r="D31">
        <v>976</v>
      </c>
      <c r="E31">
        <v>8484</v>
      </c>
      <c r="F31">
        <v>382989</v>
      </c>
      <c r="G31">
        <v>6057</v>
      </c>
      <c r="H31">
        <v>0</v>
      </c>
    </row>
    <row r="32" spans="1:8" x14ac:dyDescent="0.25">
      <c r="A32" t="s">
        <v>41</v>
      </c>
      <c r="B32" t="s">
        <v>8</v>
      </c>
      <c r="C32">
        <v>1286</v>
      </c>
      <c r="D32">
        <v>538</v>
      </c>
      <c r="E32">
        <v>6643</v>
      </c>
      <c r="F32">
        <v>229688</v>
      </c>
      <c r="G32">
        <v>2261</v>
      </c>
      <c r="H32">
        <v>3</v>
      </c>
    </row>
    <row r="33" spans="1:8" x14ac:dyDescent="0.25">
      <c r="A33" t="s">
        <v>27</v>
      </c>
      <c r="B33" t="s">
        <v>8</v>
      </c>
      <c r="C33">
        <v>2357</v>
      </c>
      <c r="D33">
        <v>2135</v>
      </c>
      <c r="E33">
        <v>1565</v>
      </c>
      <c r="F33">
        <v>242424</v>
      </c>
      <c r="G33">
        <v>698</v>
      </c>
      <c r="H33">
        <v>3</v>
      </c>
    </row>
    <row r="34" spans="1:8" x14ac:dyDescent="0.25">
      <c r="A34" t="s">
        <v>21</v>
      </c>
      <c r="B34" t="s">
        <v>8</v>
      </c>
      <c r="C34">
        <v>2582</v>
      </c>
      <c r="D34">
        <v>1142</v>
      </c>
      <c r="E34">
        <v>5785</v>
      </c>
      <c r="F34">
        <v>240381</v>
      </c>
      <c r="G34">
        <v>392</v>
      </c>
      <c r="H34">
        <v>3</v>
      </c>
    </row>
    <row r="35" spans="1:8" x14ac:dyDescent="0.25">
      <c r="A35" t="s">
        <v>26</v>
      </c>
      <c r="B35" t="s">
        <v>8</v>
      </c>
      <c r="C35">
        <v>238</v>
      </c>
      <c r="D35">
        <v>818</v>
      </c>
      <c r="E35">
        <v>7904</v>
      </c>
      <c r="F35">
        <v>147359</v>
      </c>
      <c r="G35">
        <v>742</v>
      </c>
      <c r="H35">
        <v>3</v>
      </c>
    </row>
    <row r="36" spans="1:8" x14ac:dyDescent="0.25">
      <c r="A36" t="s">
        <v>35</v>
      </c>
      <c r="B36" t="s">
        <v>8</v>
      </c>
      <c r="C36">
        <v>163</v>
      </c>
      <c r="D36">
        <v>875</v>
      </c>
      <c r="E36">
        <v>2745</v>
      </c>
      <c r="F36">
        <v>123768</v>
      </c>
      <c r="G36">
        <v>1735</v>
      </c>
      <c r="H36">
        <v>3</v>
      </c>
    </row>
    <row r="37" spans="1:8" x14ac:dyDescent="0.25">
      <c r="A37" t="s">
        <v>36</v>
      </c>
      <c r="B37" t="s">
        <v>8</v>
      </c>
      <c r="C37">
        <v>158</v>
      </c>
      <c r="D37">
        <v>738</v>
      </c>
      <c r="E37">
        <v>2118</v>
      </c>
      <c r="F37">
        <v>21555</v>
      </c>
      <c r="G37">
        <v>5</v>
      </c>
      <c r="H37">
        <v>3</v>
      </c>
    </row>
    <row r="38" spans="1:8" x14ac:dyDescent="0.25">
      <c r="A38" t="s">
        <v>48</v>
      </c>
      <c r="B38" t="s">
        <v>8</v>
      </c>
      <c r="C38">
        <v>897</v>
      </c>
      <c r="D38">
        <v>1531</v>
      </c>
      <c r="E38">
        <v>0</v>
      </c>
      <c r="F38">
        <v>218804</v>
      </c>
      <c r="G38">
        <v>1922</v>
      </c>
      <c r="H38">
        <v>3</v>
      </c>
    </row>
    <row r="39" spans="1:8" x14ac:dyDescent="0.25">
      <c r="A39" t="s">
        <v>9</v>
      </c>
      <c r="B39" t="s">
        <v>8</v>
      </c>
      <c r="C39">
        <v>6146</v>
      </c>
      <c r="D39">
        <v>2508</v>
      </c>
      <c r="E39">
        <v>10515</v>
      </c>
      <c r="F39">
        <v>93636</v>
      </c>
      <c r="G39">
        <v>5136</v>
      </c>
      <c r="H39">
        <v>1</v>
      </c>
    </row>
    <row r="40" spans="1:8" x14ac:dyDescent="0.25">
      <c r="A40" t="s">
        <v>18</v>
      </c>
      <c r="B40" t="s">
        <v>8</v>
      </c>
      <c r="C40">
        <v>3015</v>
      </c>
      <c r="D40">
        <v>957</v>
      </c>
      <c r="E40">
        <v>9824</v>
      </c>
      <c r="F40">
        <v>115247</v>
      </c>
      <c r="G40">
        <v>518</v>
      </c>
      <c r="H40">
        <v>1</v>
      </c>
    </row>
    <row r="41" spans="1:8" x14ac:dyDescent="0.25">
      <c r="A41" t="s">
        <v>13</v>
      </c>
      <c r="B41" t="s">
        <v>8</v>
      </c>
      <c r="C41">
        <v>4963</v>
      </c>
      <c r="D41">
        <v>3644</v>
      </c>
      <c r="E41">
        <v>13973</v>
      </c>
      <c r="F41">
        <v>225638</v>
      </c>
      <c r="G41">
        <v>2373</v>
      </c>
      <c r="H41">
        <v>1</v>
      </c>
    </row>
    <row r="42" spans="1:8" x14ac:dyDescent="0.25">
      <c r="A42" t="s">
        <v>42</v>
      </c>
      <c r="B42" t="s">
        <v>8</v>
      </c>
      <c r="C42">
        <v>1252</v>
      </c>
      <c r="D42">
        <v>1293</v>
      </c>
      <c r="E42">
        <v>1077</v>
      </c>
      <c r="F42">
        <v>209971</v>
      </c>
      <c r="G42">
        <v>1202</v>
      </c>
      <c r="H42">
        <v>3</v>
      </c>
    </row>
    <row r="43" spans="1:8" x14ac:dyDescent="0.25">
      <c r="A43" t="s">
        <v>122</v>
      </c>
      <c r="B43" t="s">
        <v>123</v>
      </c>
      <c r="C43">
        <v>7845</v>
      </c>
      <c r="D43">
        <v>4862</v>
      </c>
      <c r="E43">
        <v>8041</v>
      </c>
      <c r="F43">
        <v>118566</v>
      </c>
      <c r="G43">
        <v>12219</v>
      </c>
      <c r="H43">
        <v>2</v>
      </c>
    </row>
    <row r="44" spans="1:8" x14ac:dyDescent="0.25">
      <c r="A44" t="s">
        <v>148</v>
      </c>
      <c r="B44" t="s">
        <v>123</v>
      </c>
      <c r="C44">
        <v>1868</v>
      </c>
      <c r="D44">
        <v>1939999999999999</v>
      </c>
      <c r="E44">
        <v>2455</v>
      </c>
      <c r="F44">
        <v>181603</v>
      </c>
      <c r="G44">
        <v>423</v>
      </c>
      <c r="H44">
        <v>3</v>
      </c>
    </row>
    <row r="45" spans="1:8" x14ac:dyDescent="0.25">
      <c r="A45" t="s">
        <v>144</v>
      </c>
      <c r="B45" t="s">
        <v>123</v>
      </c>
      <c r="C45">
        <v>1951</v>
      </c>
      <c r="D45">
        <v>602</v>
      </c>
      <c r="E45">
        <v>4758</v>
      </c>
      <c r="F45">
        <v>129122</v>
      </c>
      <c r="G45">
        <v>783</v>
      </c>
      <c r="H45">
        <v>3</v>
      </c>
    </row>
    <row r="46" spans="1:8" x14ac:dyDescent="0.25">
      <c r="A46" t="s">
        <v>128</v>
      </c>
      <c r="B46" t="s">
        <v>123</v>
      </c>
      <c r="C46">
        <v>3065</v>
      </c>
      <c r="D46">
        <v>2607</v>
      </c>
      <c r="E46">
        <v>10532</v>
      </c>
      <c r="F46">
        <v>449237</v>
      </c>
      <c r="G46">
        <v>1812</v>
      </c>
      <c r="H46">
        <v>0</v>
      </c>
    </row>
    <row r="47" spans="1:8" x14ac:dyDescent="0.25">
      <c r="A47" t="s">
        <v>130</v>
      </c>
      <c r="B47" t="s">
        <v>123</v>
      </c>
      <c r="C47">
        <v>2715</v>
      </c>
      <c r="D47">
        <v>3025</v>
      </c>
      <c r="E47">
        <v>54</v>
      </c>
      <c r="F47">
        <v>273309</v>
      </c>
      <c r="G47">
        <v>3997</v>
      </c>
      <c r="H47">
        <v>0</v>
      </c>
    </row>
    <row r="48" spans="1:8" x14ac:dyDescent="0.25">
      <c r="A48" t="s">
        <v>143</v>
      </c>
      <c r="B48" t="s">
        <v>123</v>
      </c>
      <c r="C48">
        <v>1989999999999999</v>
      </c>
      <c r="D48">
        <v>2941</v>
      </c>
      <c r="E48">
        <v>498</v>
      </c>
      <c r="F48">
        <v>557319</v>
      </c>
      <c r="G48">
        <v>44</v>
      </c>
      <c r="H48">
        <v>0</v>
      </c>
    </row>
    <row r="49" spans="1:8" x14ac:dyDescent="0.25">
      <c r="A49" t="s">
        <v>142</v>
      </c>
      <c r="B49" t="s">
        <v>123</v>
      </c>
      <c r="C49">
        <v>2001</v>
      </c>
      <c r="D49">
        <v>2571</v>
      </c>
      <c r="E49">
        <v>11915</v>
      </c>
      <c r="F49">
        <v>23425</v>
      </c>
      <c r="G49">
        <v>743</v>
      </c>
      <c r="H49">
        <v>1</v>
      </c>
    </row>
    <row r="50" spans="1:8" x14ac:dyDescent="0.25">
      <c r="A50" t="s">
        <v>135</v>
      </c>
      <c r="B50" t="s">
        <v>123</v>
      </c>
      <c r="C50">
        <v>2345</v>
      </c>
      <c r="D50">
        <v>1403</v>
      </c>
      <c r="E50">
        <v>7859</v>
      </c>
      <c r="F50">
        <v>185661</v>
      </c>
      <c r="G50">
        <v>487</v>
      </c>
      <c r="H50">
        <v>3</v>
      </c>
    </row>
    <row r="51" spans="1:8" x14ac:dyDescent="0.25">
      <c r="A51" t="s">
        <v>167</v>
      </c>
      <c r="B51" t="s">
        <v>123</v>
      </c>
      <c r="C51">
        <v>1036</v>
      </c>
      <c r="D51">
        <v>1356</v>
      </c>
      <c r="E51">
        <v>3137</v>
      </c>
      <c r="F51">
        <v>23965</v>
      </c>
      <c r="G51">
        <v>395</v>
      </c>
      <c r="H51">
        <v>3</v>
      </c>
    </row>
    <row r="52" spans="1:8" x14ac:dyDescent="0.25">
      <c r="A52" t="s">
        <v>154</v>
      </c>
      <c r="B52" t="s">
        <v>123</v>
      </c>
      <c r="C52">
        <v>146</v>
      </c>
      <c r="D52">
        <v>665</v>
      </c>
      <c r="E52">
        <v>8776</v>
      </c>
      <c r="F52">
        <v>201558</v>
      </c>
      <c r="G52">
        <v>1136</v>
      </c>
      <c r="H52">
        <v>3</v>
      </c>
    </row>
    <row r="53" spans="1:8" x14ac:dyDescent="0.25">
      <c r="A53" t="s">
        <v>170</v>
      </c>
      <c r="B53" t="s">
        <v>123</v>
      </c>
      <c r="C53">
        <v>943</v>
      </c>
      <c r="D53">
        <v>827</v>
      </c>
      <c r="E53">
        <v>12255</v>
      </c>
      <c r="F53">
        <v>405364</v>
      </c>
      <c r="G53">
        <v>4082</v>
      </c>
      <c r="H53">
        <v>0</v>
      </c>
    </row>
    <row r="54" spans="1:8" x14ac:dyDescent="0.25">
      <c r="A54" t="s">
        <v>171</v>
      </c>
      <c r="B54" t="s">
        <v>123</v>
      </c>
      <c r="C54">
        <v>922</v>
      </c>
      <c r="D54">
        <v>1122</v>
      </c>
      <c r="E54">
        <v>7088</v>
      </c>
      <c r="F54">
        <v>263214</v>
      </c>
      <c r="G54">
        <v>2902</v>
      </c>
      <c r="H54">
        <v>3</v>
      </c>
    </row>
    <row r="55" spans="1:8" x14ac:dyDescent="0.25">
      <c r="A55" t="s">
        <v>140</v>
      </c>
      <c r="B55" t="s">
        <v>123</v>
      </c>
      <c r="C55">
        <v>2118</v>
      </c>
      <c r="D55">
        <v>1946</v>
      </c>
      <c r="E55">
        <v>0</v>
      </c>
      <c r="F55">
        <v>319315</v>
      </c>
      <c r="G55">
        <v>1089</v>
      </c>
      <c r="H55">
        <v>0</v>
      </c>
    </row>
    <row r="56" spans="1:8" x14ac:dyDescent="0.25">
      <c r="A56" t="s">
        <v>160</v>
      </c>
      <c r="B56" t="s">
        <v>123</v>
      </c>
      <c r="C56">
        <v>1293</v>
      </c>
      <c r="D56">
        <v>748</v>
      </c>
      <c r="E56">
        <v>87</v>
      </c>
      <c r="F56">
        <v>175091</v>
      </c>
      <c r="G56">
        <v>404</v>
      </c>
      <c r="H56">
        <v>3</v>
      </c>
    </row>
    <row r="57" spans="1:8" x14ac:dyDescent="0.25">
      <c r="A57" t="s">
        <v>161</v>
      </c>
      <c r="B57" t="s">
        <v>123</v>
      </c>
      <c r="C57">
        <v>1255</v>
      </c>
      <c r="D57">
        <v>4025</v>
      </c>
      <c r="E57">
        <v>0</v>
      </c>
      <c r="F57">
        <v>246897</v>
      </c>
      <c r="G57">
        <v>4805</v>
      </c>
      <c r="H57">
        <v>2</v>
      </c>
    </row>
    <row r="58" spans="1:8" x14ac:dyDescent="0.25">
      <c r="A58" t="s">
        <v>125</v>
      </c>
      <c r="B58" t="s">
        <v>123</v>
      </c>
      <c r="C58">
        <v>3701</v>
      </c>
      <c r="D58">
        <v>3492</v>
      </c>
      <c r="E58">
        <v>2729</v>
      </c>
      <c r="F58">
        <v>167165</v>
      </c>
      <c r="G58">
        <v>1356</v>
      </c>
      <c r="H58">
        <v>3</v>
      </c>
    </row>
    <row r="59" spans="1:8" x14ac:dyDescent="0.25">
      <c r="A59" t="s">
        <v>156</v>
      </c>
      <c r="B59" t="s">
        <v>123</v>
      </c>
      <c r="C59">
        <v>1399</v>
      </c>
      <c r="D59">
        <v>565</v>
      </c>
      <c r="E59">
        <v>16282</v>
      </c>
      <c r="F59">
        <v>222111</v>
      </c>
      <c r="G59">
        <v>876</v>
      </c>
      <c r="H59">
        <v>1</v>
      </c>
    </row>
    <row r="60" spans="1:8" x14ac:dyDescent="0.25">
      <c r="A60" t="s">
        <v>152</v>
      </c>
      <c r="B60" t="s">
        <v>123</v>
      </c>
      <c r="C60">
        <v>1769</v>
      </c>
      <c r="D60">
        <v>1401</v>
      </c>
      <c r="E60">
        <v>16374</v>
      </c>
      <c r="F60">
        <v>203435</v>
      </c>
      <c r="G60">
        <v>771</v>
      </c>
      <c r="H60">
        <v>1</v>
      </c>
    </row>
    <row r="61" spans="1:8" x14ac:dyDescent="0.25">
      <c r="A61" t="s">
        <v>151</v>
      </c>
      <c r="B61" t="s">
        <v>123</v>
      </c>
      <c r="C61">
        <v>1812</v>
      </c>
      <c r="D61">
        <v>85</v>
      </c>
      <c r="E61">
        <v>10742</v>
      </c>
      <c r="F61">
        <v>178939</v>
      </c>
      <c r="G61">
        <v>35</v>
      </c>
      <c r="H61">
        <v>1</v>
      </c>
    </row>
    <row r="62" spans="1:8" x14ac:dyDescent="0.25">
      <c r="A62" t="s">
        <v>166</v>
      </c>
      <c r="B62" t="s">
        <v>123</v>
      </c>
      <c r="C62">
        <v>105</v>
      </c>
      <c r="D62">
        <v>1571</v>
      </c>
      <c r="E62">
        <v>5379</v>
      </c>
      <c r="F62">
        <v>292157</v>
      </c>
      <c r="G62">
        <v>819</v>
      </c>
      <c r="H62">
        <v>0</v>
      </c>
    </row>
    <row r="63" spans="1:8" x14ac:dyDescent="0.25">
      <c r="A63" t="s">
        <v>163</v>
      </c>
      <c r="B63" t="s">
        <v>123</v>
      </c>
      <c r="C63">
        <v>122</v>
      </c>
      <c r="D63">
        <v>172</v>
      </c>
      <c r="E63">
        <v>0</v>
      </c>
      <c r="F63">
        <v>199574</v>
      </c>
      <c r="G63">
        <v>635</v>
      </c>
      <c r="H63">
        <v>3</v>
      </c>
    </row>
    <row r="64" spans="1:8" x14ac:dyDescent="0.25">
      <c r="A64" t="s">
        <v>168</v>
      </c>
      <c r="B64" t="s">
        <v>123</v>
      </c>
      <c r="C64">
        <v>982</v>
      </c>
      <c r="D64">
        <v>102</v>
      </c>
      <c r="E64">
        <v>5589999999999999</v>
      </c>
      <c r="F64">
        <v>252907</v>
      </c>
      <c r="G64">
        <v>846</v>
      </c>
      <c r="H64">
        <v>3</v>
      </c>
    </row>
    <row r="65" spans="1:8" x14ac:dyDescent="0.25">
      <c r="A65" t="s">
        <v>145</v>
      </c>
      <c r="B65" t="s">
        <v>123</v>
      </c>
      <c r="C65">
        <v>1939</v>
      </c>
      <c r="D65">
        <v>2086</v>
      </c>
      <c r="E65">
        <v>39</v>
      </c>
      <c r="F65">
        <v>291882</v>
      </c>
      <c r="G65">
        <v>8124</v>
      </c>
      <c r="H65">
        <v>0</v>
      </c>
    </row>
    <row r="66" spans="1:8" x14ac:dyDescent="0.25">
      <c r="A66" t="s">
        <v>158</v>
      </c>
      <c r="B66" t="s">
        <v>123</v>
      </c>
      <c r="C66">
        <v>1328</v>
      </c>
      <c r="D66">
        <v>894</v>
      </c>
      <c r="E66">
        <v>3506</v>
      </c>
      <c r="F66">
        <v>29743</v>
      </c>
      <c r="G66">
        <v>387</v>
      </c>
      <c r="H66">
        <v>0</v>
      </c>
    </row>
    <row r="67" spans="1:8" x14ac:dyDescent="0.25">
      <c r="A67" t="s">
        <v>146</v>
      </c>
      <c r="B67" t="s">
        <v>123</v>
      </c>
      <c r="C67">
        <v>1937</v>
      </c>
      <c r="D67">
        <v>1915</v>
      </c>
      <c r="E67">
        <v>0</v>
      </c>
      <c r="F67">
        <v>308895</v>
      </c>
      <c r="G67">
        <v>1537</v>
      </c>
      <c r="H67">
        <v>0</v>
      </c>
    </row>
    <row r="68" spans="1:8" x14ac:dyDescent="0.25">
      <c r="A68" t="s">
        <v>132</v>
      </c>
      <c r="B68" t="s">
        <v>123</v>
      </c>
      <c r="C68">
        <v>2497</v>
      </c>
      <c r="D68">
        <v>1324</v>
      </c>
      <c r="E68">
        <v>2707</v>
      </c>
      <c r="F68">
        <v>182838</v>
      </c>
      <c r="G68">
        <v>363</v>
      </c>
      <c r="H68">
        <v>3</v>
      </c>
    </row>
    <row r="69" spans="1:8" x14ac:dyDescent="0.25">
      <c r="A69" t="s">
        <v>147</v>
      </c>
      <c r="B69" t="s">
        <v>123</v>
      </c>
      <c r="C69">
        <v>1885</v>
      </c>
      <c r="D69">
        <v>976</v>
      </c>
      <c r="E69">
        <v>11491</v>
      </c>
      <c r="F69">
        <v>236912</v>
      </c>
      <c r="G69">
        <v>1134</v>
      </c>
      <c r="H69">
        <v>1</v>
      </c>
    </row>
    <row r="70" spans="1:8" x14ac:dyDescent="0.25">
      <c r="A70" t="s">
        <v>162</v>
      </c>
      <c r="B70" t="s">
        <v>123</v>
      </c>
      <c r="C70">
        <v>124</v>
      </c>
      <c r="D70">
        <v>1085</v>
      </c>
      <c r="E70">
        <v>422</v>
      </c>
      <c r="F70">
        <v>327451</v>
      </c>
      <c r="G70">
        <v>611</v>
      </c>
      <c r="H70">
        <v>0</v>
      </c>
    </row>
    <row r="71" spans="1:8" x14ac:dyDescent="0.25">
      <c r="A71" t="s">
        <v>124</v>
      </c>
      <c r="B71" t="s">
        <v>123</v>
      </c>
      <c r="C71">
        <v>47</v>
      </c>
      <c r="D71">
        <v>1361</v>
      </c>
      <c r="E71">
        <v>6281</v>
      </c>
      <c r="F71">
        <v>258292</v>
      </c>
      <c r="G71">
        <v>45</v>
      </c>
      <c r="H71">
        <v>1</v>
      </c>
    </row>
    <row r="72" spans="1:8" x14ac:dyDescent="0.25">
      <c r="A72" t="s">
        <v>127</v>
      </c>
      <c r="B72" t="s">
        <v>123</v>
      </c>
      <c r="C72">
        <v>3344</v>
      </c>
      <c r="D72">
        <v>2915</v>
      </c>
      <c r="E72">
        <v>4616</v>
      </c>
      <c r="F72">
        <v>235895</v>
      </c>
      <c r="G72">
        <v>1962</v>
      </c>
      <c r="H72">
        <v>3</v>
      </c>
    </row>
    <row r="73" spans="1:8" x14ac:dyDescent="0.25">
      <c r="A73" t="s">
        <v>150</v>
      </c>
      <c r="B73" t="s">
        <v>123</v>
      </c>
      <c r="C73">
        <v>1815</v>
      </c>
      <c r="D73">
        <v>1147</v>
      </c>
      <c r="E73">
        <v>0</v>
      </c>
      <c r="F73">
        <v>182107</v>
      </c>
      <c r="G73">
        <v>1252</v>
      </c>
      <c r="H73">
        <v>3</v>
      </c>
    </row>
    <row r="74" spans="1:8" x14ac:dyDescent="0.25">
      <c r="A74" t="s">
        <v>137</v>
      </c>
      <c r="B74" t="s">
        <v>123</v>
      </c>
      <c r="C74">
        <v>2281</v>
      </c>
      <c r="D74">
        <v>153</v>
      </c>
      <c r="E74">
        <v>2388</v>
      </c>
      <c r="F74">
        <v>116237</v>
      </c>
      <c r="G74">
        <v>1774</v>
      </c>
      <c r="H74">
        <v>3</v>
      </c>
    </row>
    <row r="75" spans="1:8" x14ac:dyDescent="0.25">
      <c r="A75" t="s">
        <v>133</v>
      </c>
      <c r="B75" t="s">
        <v>123</v>
      </c>
      <c r="C75">
        <v>2451</v>
      </c>
      <c r="D75">
        <v>2264</v>
      </c>
      <c r="E75">
        <v>0</v>
      </c>
      <c r="F75">
        <v>167039</v>
      </c>
      <c r="G75">
        <v>2691</v>
      </c>
      <c r="H75">
        <v>3</v>
      </c>
    </row>
    <row r="76" spans="1:8" x14ac:dyDescent="0.25">
      <c r="A76" t="s">
        <v>129</v>
      </c>
      <c r="B76" t="s">
        <v>123</v>
      </c>
      <c r="C76">
        <v>2738</v>
      </c>
      <c r="D76">
        <v>264</v>
      </c>
      <c r="E76">
        <v>1018</v>
      </c>
      <c r="F76">
        <v>183414</v>
      </c>
      <c r="G76">
        <v>1536</v>
      </c>
      <c r="H76">
        <v>3</v>
      </c>
    </row>
    <row r="77" spans="1:8" x14ac:dyDescent="0.25">
      <c r="A77" t="s">
        <v>153</v>
      </c>
      <c r="B77" t="s">
        <v>123</v>
      </c>
      <c r="C77">
        <v>158</v>
      </c>
      <c r="D77">
        <v>195</v>
      </c>
      <c r="E77">
        <v>0</v>
      </c>
      <c r="F77">
        <v>242551</v>
      </c>
      <c r="G77">
        <v>919</v>
      </c>
      <c r="H77">
        <v>3</v>
      </c>
    </row>
    <row r="78" spans="1:8" x14ac:dyDescent="0.25">
      <c r="A78" t="s">
        <v>165</v>
      </c>
      <c r="B78" t="s">
        <v>123</v>
      </c>
      <c r="C78">
        <v>1107</v>
      </c>
      <c r="D78">
        <v>66</v>
      </c>
      <c r="E78">
        <v>10024</v>
      </c>
      <c r="F78">
        <v>214682</v>
      </c>
      <c r="G78">
        <v>836</v>
      </c>
      <c r="H78">
        <v>3</v>
      </c>
    </row>
    <row r="79" spans="1:8" x14ac:dyDescent="0.25">
      <c r="A79" t="s">
        <v>134</v>
      </c>
      <c r="B79" t="s">
        <v>123</v>
      </c>
      <c r="C79">
        <v>2369</v>
      </c>
      <c r="D79">
        <v>1628</v>
      </c>
      <c r="E79">
        <v>4927</v>
      </c>
      <c r="F79">
        <v>207722</v>
      </c>
      <c r="G79">
        <v>315</v>
      </c>
      <c r="H79">
        <v>3</v>
      </c>
    </row>
    <row r="80" spans="1:8" x14ac:dyDescent="0.25">
      <c r="A80" t="s">
        <v>155</v>
      </c>
      <c r="B80" t="s">
        <v>123</v>
      </c>
      <c r="C80">
        <v>1401</v>
      </c>
      <c r="D80">
        <v>1301</v>
      </c>
      <c r="E80">
        <v>2512</v>
      </c>
      <c r="F80">
        <v>205311</v>
      </c>
      <c r="G80">
        <v>1323</v>
      </c>
      <c r="H80">
        <v>3</v>
      </c>
    </row>
    <row r="81" spans="1:8" x14ac:dyDescent="0.25">
      <c r="A81" t="s">
        <v>157</v>
      </c>
      <c r="B81" t="s">
        <v>123</v>
      </c>
      <c r="C81">
        <v>1395</v>
      </c>
      <c r="D81">
        <v>3101</v>
      </c>
      <c r="E81">
        <v>163</v>
      </c>
      <c r="F81">
        <v>307542</v>
      </c>
      <c r="G81">
        <v>1519</v>
      </c>
      <c r="H81">
        <v>0</v>
      </c>
    </row>
    <row r="82" spans="1:8" x14ac:dyDescent="0.25">
      <c r="A82" t="s">
        <v>164</v>
      </c>
      <c r="B82" t="s">
        <v>123</v>
      </c>
      <c r="C82">
        <v>1185</v>
      </c>
      <c r="D82">
        <v>885</v>
      </c>
      <c r="E82">
        <v>2204</v>
      </c>
      <c r="F82">
        <v>319333</v>
      </c>
      <c r="G82">
        <v>1499</v>
      </c>
      <c r="H82">
        <v>0</v>
      </c>
    </row>
    <row r="83" spans="1:8" x14ac:dyDescent="0.25">
      <c r="A83" t="s">
        <v>136</v>
      </c>
      <c r="B83" t="s">
        <v>123</v>
      </c>
      <c r="C83">
        <v>2317</v>
      </c>
      <c r="D83">
        <v>7214</v>
      </c>
      <c r="E83">
        <v>0</v>
      </c>
      <c r="F83">
        <v>210479</v>
      </c>
      <c r="G83">
        <v>4894</v>
      </c>
      <c r="H83">
        <v>2</v>
      </c>
    </row>
    <row r="84" spans="1:8" x14ac:dyDescent="0.25">
      <c r="A84" t="s">
        <v>141</v>
      </c>
      <c r="B84" t="s">
        <v>123</v>
      </c>
      <c r="C84">
        <v>2057</v>
      </c>
      <c r="D84">
        <v>5136</v>
      </c>
      <c r="E84">
        <v>7622</v>
      </c>
      <c r="F84">
        <v>216054</v>
      </c>
      <c r="G84">
        <v>8606</v>
      </c>
      <c r="H84">
        <v>2</v>
      </c>
    </row>
    <row r="85" spans="1:8" x14ac:dyDescent="0.25">
      <c r="A85" t="s">
        <v>173</v>
      </c>
      <c r="B85" t="s">
        <v>123</v>
      </c>
      <c r="C85">
        <v>919</v>
      </c>
      <c r="D85">
        <v>2303</v>
      </c>
      <c r="E85">
        <v>5838</v>
      </c>
      <c r="F85">
        <v>155099</v>
      </c>
      <c r="G85">
        <v>927</v>
      </c>
      <c r="H85">
        <v>3</v>
      </c>
    </row>
    <row r="86" spans="1:8" x14ac:dyDescent="0.25">
      <c r="A86" t="s">
        <v>159</v>
      </c>
      <c r="B86" t="s">
        <v>123</v>
      </c>
      <c r="C86">
        <v>1308</v>
      </c>
      <c r="D86">
        <v>627</v>
      </c>
      <c r="E86">
        <v>2435</v>
      </c>
      <c r="F86">
        <v>267261</v>
      </c>
      <c r="G86">
        <v>1553</v>
      </c>
      <c r="H86">
        <v>3</v>
      </c>
    </row>
    <row r="87" spans="1:8" x14ac:dyDescent="0.25">
      <c r="A87" t="s">
        <v>126</v>
      </c>
      <c r="B87" t="s">
        <v>123</v>
      </c>
      <c r="C87">
        <v>3549</v>
      </c>
      <c r="D87">
        <v>4746</v>
      </c>
      <c r="E87">
        <v>176</v>
      </c>
      <c r="F87">
        <v>136364</v>
      </c>
      <c r="G87">
        <v>1316</v>
      </c>
      <c r="H87">
        <v>2</v>
      </c>
    </row>
    <row r="88" spans="1:8" x14ac:dyDescent="0.25">
      <c r="A88" t="s">
        <v>138</v>
      </c>
      <c r="B88" t="s">
        <v>123</v>
      </c>
      <c r="C88">
        <v>22</v>
      </c>
      <c r="D88">
        <v>682</v>
      </c>
      <c r="E88">
        <v>3268</v>
      </c>
      <c r="F88">
        <v>182504</v>
      </c>
      <c r="G88">
        <v>304</v>
      </c>
      <c r="H88">
        <v>3</v>
      </c>
    </row>
    <row r="89" spans="1:8" x14ac:dyDescent="0.25">
      <c r="A89" t="s">
        <v>172</v>
      </c>
      <c r="B89" t="s">
        <v>123</v>
      </c>
      <c r="C89">
        <v>919</v>
      </c>
      <c r="D89">
        <v>1138</v>
      </c>
      <c r="E89">
        <v>0</v>
      </c>
      <c r="F89">
        <v>480223</v>
      </c>
      <c r="G89">
        <v>1922</v>
      </c>
      <c r="H89">
        <v>0</v>
      </c>
    </row>
    <row r="90" spans="1:8" x14ac:dyDescent="0.25">
      <c r="A90" t="s">
        <v>139</v>
      </c>
      <c r="B90" t="s">
        <v>123</v>
      </c>
      <c r="C90">
        <v>2152</v>
      </c>
      <c r="D90">
        <v>3629</v>
      </c>
      <c r="E90">
        <v>0</v>
      </c>
      <c r="F90">
        <v>156092</v>
      </c>
      <c r="G90">
        <v>4064</v>
      </c>
      <c r="H90">
        <v>2</v>
      </c>
    </row>
    <row r="91" spans="1:8" x14ac:dyDescent="0.25">
      <c r="A91" t="s">
        <v>149</v>
      </c>
      <c r="B91" t="s">
        <v>123</v>
      </c>
      <c r="C91">
        <v>1859</v>
      </c>
      <c r="D91">
        <v>1976</v>
      </c>
      <c r="E91">
        <v>0</v>
      </c>
      <c r="F91">
        <v>239444</v>
      </c>
      <c r="G91">
        <v>664</v>
      </c>
      <c r="H91">
        <v>3</v>
      </c>
    </row>
    <row r="92" spans="1:8" x14ac:dyDescent="0.25">
      <c r="A92" t="s">
        <v>169</v>
      </c>
      <c r="B92" t="s">
        <v>123</v>
      </c>
      <c r="C92">
        <v>981</v>
      </c>
      <c r="D92">
        <v>131</v>
      </c>
      <c r="E92">
        <v>0</v>
      </c>
      <c r="F92">
        <v>56087</v>
      </c>
      <c r="G92">
        <v>3803</v>
      </c>
      <c r="H92">
        <v>0</v>
      </c>
    </row>
    <row r="93" spans="1:8" x14ac:dyDescent="0.25">
      <c r="A93" t="s">
        <v>174</v>
      </c>
      <c r="B93" t="s">
        <v>123</v>
      </c>
      <c r="C93">
        <v>874</v>
      </c>
      <c r="D93">
        <v>1641</v>
      </c>
      <c r="E93">
        <v>0</v>
      </c>
      <c r="F93">
        <v>230395</v>
      </c>
      <c r="G93">
        <v>1497</v>
      </c>
      <c r="H93">
        <v>3</v>
      </c>
    </row>
    <row r="94" spans="1:8" x14ac:dyDescent="0.25">
      <c r="A94" t="s">
        <v>175</v>
      </c>
      <c r="B94" t="s">
        <v>123</v>
      </c>
      <c r="C94">
        <v>852</v>
      </c>
      <c r="D94">
        <v>817</v>
      </c>
      <c r="E94">
        <v>0</v>
      </c>
      <c r="F94">
        <v>355789</v>
      </c>
      <c r="G94">
        <v>1506</v>
      </c>
      <c r="H94">
        <v>0</v>
      </c>
    </row>
    <row r="95" spans="1:8" x14ac:dyDescent="0.25">
      <c r="A95" t="s">
        <v>131</v>
      </c>
      <c r="B95" t="s">
        <v>123</v>
      </c>
      <c r="C95">
        <v>2498</v>
      </c>
      <c r="D95">
        <v>1098</v>
      </c>
      <c r="E95">
        <v>4867</v>
      </c>
      <c r="F95">
        <v>2525</v>
      </c>
      <c r="G95">
        <v>869</v>
      </c>
      <c r="H95">
        <v>3</v>
      </c>
    </row>
    <row r="96" spans="1:8" x14ac:dyDescent="0.25">
      <c r="A96" t="s">
        <v>60</v>
      </c>
      <c r="B96" t="s">
        <v>50</v>
      </c>
      <c r="C96">
        <v>2152</v>
      </c>
      <c r="D96">
        <v>1065</v>
      </c>
      <c r="E96">
        <v>4782</v>
      </c>
      <c r="F96">
        <v>9523</v>
      </c>
      <c r="G96">
        <v>118</v>
      </c>
      <c r="H96">
        <v>3</v>
      </c>
    </row>
    <row r="97" spans="1:8" x14ac:dyDescent="0.25">
      <c r="A97" t="s">
        <v>65</v>
      </c>
      <c r="B97" t="s">
        <v>50</v>
      </c>
      <c r="C97">
        <v>1982</v>
      </c>
      <c r="D97">
        <v>2288</v>
      </c>
      <c r="E97">
        <v>14944</v>
      </c>
      <c r="F97">
        <v>103764</v>
      </c>
      <c r="G97">
        <v>1979</v>
      </c>
      <c r="H97">
        <v>1</v>
      </c>
    </row>
    <row r="98" spans="1:8" x14ac:dyDescent="0.25">
      <c r="A98" t="s">
        <v>79</v>
      </c>
      <c r="B98" t="s">
        <v>50</v>
      </c>
      <c r="C98">
        <v>1437</v>
      </c>
      <c r="D98">
        <v>1119</v>
      </c>
      <c r="E98">
        <v>3522</v>
      </c>
      <c r="F98">
        <v>203357</v>
      </c>
      <c r="G98">
        <v>732</v>
      </c>
      <c r="H98">
        <v>3</v>
      </c>
    </row>
    <row r="99" spans="1:8" x14ac:dyDescent="0.25">
      <c r="A99" t="s">
        <v>111</v>
      </c>
      <c r="B99" t="s">
        <v>50</v>
      </c>
      <c r="C99">
        <v>746</v>
      </c>
      <c r="D99">
        <v>779</v>
      </c>
      <c r="E99">
        <v>5229</v>
      </c>
      <c r="F99">
        <v>155751</v>
      </c>
      <c r="G99">
        <v>985</v>
      </c>
      <c r="H99">
        <v>3</v>
      </c>
    </row>
    <row r="100" spans="1:8" x14ac:dyDescent="0.25">
      <c r="A100" t="s">
        <v>96</v>
      </c>
      <c r="B100" t="s">
        <v>50</v>
      </c>
      <c r="C100">
        <v>1134</v>
      </c>
      <c r="D100">
        <v>829</v>
      </c>
      <c r="E100">
        <v>6824</v>
      </c>
      <c r="F100">
        <v>101399</v>
      </c>
      <c r="G100">
        <v>212</v>
      </c>
      <c r="H100">
        <v>3</v>
      </c>
    </row>
    <row r="101" spans="1:8" x14ac:dyDescent="0.25">
      <c r="A101" t="s">
        <v>102</v>
      </c>
      <c r="B101" t="s">
        <v>50</v>
      </c>
      <c r="C101">
        <v>1025</v>
      </c>
      <c r="D101">
        <v>2073</v>
      </c>
      <c r="E101">
        <v>1314</v>
      </c>
      <c r="F101">
        <v>565263</v>
      </c>
      <c r="G101">
        <v>12547</v>
      </c>
      <c r="H101">
        <v>0</v>
      </c>
    </row>
    <row r="102" spans="1:8" x14ac:dyDescent="0.25">
      <c r="A102" t="s">
        <v>62</v>
      </c>
      <c r="B102" t="s">
        <v>50</v>
      </c>
      <c r="C102">
        <v>2086</v>
      </c>
      <c r="D102">
        <v>3165</v>
      </c>
      <c r="E102">
        <v>5589</v>
      </c>
      <c r="F102">
        <v>114932</v>
      </c>
      <c r="G102">
        <v>359</v>
      </c>
      <c r="H102">
        <v>3</v>
      </c>
    </row>
    <row r="103" spans="1:8" x14ac:dyDescent="0.25">
      <c r="A103" t="s">
        <v>70</v>
      </c>
      <c r="B103" t="s">
        <v>50</v>
      </c>
      <c r="C103">
        <v>1699</v>
      </c>
      <c r="D103">
        <v>3345</v>
      </c>
      <c r="E103">
        <v>11383</v>
      </c>
      <c r="F103">
        <v>55053</v>
      </c>
      <c r="G103">
        <v>1934</v>
      </c>
      <c r="H103">
        <v>1</v>
      </c>
    </row>
    <row r="104" spans="1:8" x14ac:dyDescent="0.25">
      <c r="A104" t="s">
        <v>119</v>
      </c>
      <c r="B104" t="s">
        <v>50</v>
      </c>
      <c r="C104">
        <v>559999999999999</v>
      </c>
      <c r="D104">
        <v>511</v>
      </c>
      <c r="E104">
        <v>3391</v>
      </c>
      <c r="F104">
        <v>148125</v>
      </c>
      <c r="G104">
        <v>1717</v>
      </c>
      <c r="H104">
        <v>3</v>
      </c>
    </row>
    <row r="105" spans="1:8" x14ac:dyDescent="0.25">
      <c r="A105" t="s">
        <v>73</v>
      </c>
      <c r="B105" t="s">
        <v>50</v>
      </c>
      <c r="C105">
        <v>1646</v>
      </c>
      <c r="D105">
        <v>1617</v>
      </c>
      <c r="E105">
        <v>3337</v>
      </c>
      <c r="F105">
        <v>171772</v>
      </c>
      <c r="G105">
        <v>2449</v>
      </c>
      <c r="H105">
        <v>3</v>
      </c>
    </row>
    <row r="106" spans="1:8" x14ac:dyDescent="0.25">
      <c r="A106" t="s">
        <v>104</v>
      </c>
      <c r="B106" t="s">
        <v>50</v>
      </c>
      <c r="C106">
        <v>1001</v>
      </c>
      <c r="D106">
        <v>433</v>
      </c>
      <c r="E106">
        <v>5988</v>
      </c>
      <c r="F106">
        <v>109465</v>
      </c>
      <c r="G106">
        <v>1386</v>
      </c>
      <c r="H106">
        <v>3</v>
      </c>
    </row>
    <row r="107" spans="1:8" x14ac:dyDescent="0.25">
      <c r="A107" t="s">
        <v>58</v>
      </c>
      <c r="B107" t="s">
        <v>50</v>
      </c>
      <c r="C107">
        <v>2274</v>
      </c>
      <c r="D107">
        <v>1049</v>
      </c>
      <c r="E107">
        <v>2082</v>
      </c>
      <c r="F107">
        <v>114386</v>
      </c>
      <c r="G107">
        <v>2557</v>
      </c>
      <c r="H107">
        <v>3</v>
      </c>
    </row>
    <row r="108" spans="1:8" x14ac:dyDescent="0.25">
      <c r="A108" t="s">
        <v>57</v>
      </c>
      <c r="B108" t="s">
        <v>50</v>
      </c>
      <c r="C108">
        <v>2409</v>
      </c>
      <c r="D108">
        <v>2768</v>
      </c>
      <c r="E108">
        <v>24589</v>
      </c>
      <c r="F108">
        <v>152857</v>
      </c>
      <c r="G108">
        <v>1133</v>
      </c>
      <c r="H108">
        <v>1</v>
      </c>
    </row>
    <row r="109" spans="1:8" x14ac:dyDescent="0.25">
      <c r="A109" t="s">
        <v>69</v>
      </c>
      <c r="B109" t="s">
        <v>50</v>
      </c>
      <c r="C109">
        <v>1702</v>
      </c>
      <c r="D109">
        <v>318</v>
      </c>
      <c r="E109">
        <v>12285</v>
      </c>
      <c r="F109">
        <v>214728</v>
      </c>
      <c r="G109">
        <v>288</v>
      </c>
      <c r="H109">
        <v>1</v>
      </c>
    </row>
    <row r="110" spans="1:8" x14ac:dyDescent="0.25">
      <c r="A110" t="s">
        <v>77</v>
      </c>
      <c r="B110" t="s">
        <v>50</v>
      </c>
      <c r="C110">
        <v>1537</v>
      </c>
      <c r="D110">
        <v>2476</v>
      </c>
      <c r="E110">
        <v>9952</v>
      </c>
      <c r="F110">
        <v>157899</v>
      </c>
      <c r="G110">
        <v>10719</v>
      </c>
      <c r="H110">
        <v>2</v>
      </c>
    </row>
    <row r="111" spans="1:8" x14ac:dyDescent="0.25">
      <c r="A111" t="s">
        <v>76</v>
      </c>
      <c r="B111" t="s">
        <v>50</v>
      </c>
      <c r="C111">
        <v>1543</v>
      </c>
      <c r="D111">
        <v>581</v>
      </c>
      <c r="E111">
        <v>11827</v>
      </c>
      <c r="F111">
        <v>239205</v>
      </c>
      <c r="G111">
        <v>47</v>
      </c>
      <c r="H111">
        <v>1</v>
      </c>
    </row>
    <row r="112" spans="1:8" x14ac:dyDescent="0.25">
      <c r="A112" t="s">
        <v>94</v>
      </c>
      <c r="B112" t="s">
        <v>50</v>
      </c>
      <c r="C112">
        <v>1176</v>
      </c>
      <c r="D112">
        <v>2373</v>
      </c>
      <c r="E112">
        <v>5877</v>
      </c>
      <c r="F112">
        <v>141161</v>
      </c>
      <c r="G112">
        <v>199</v>
      </c>
      <c r="H112">
        <v>3</v>
      </c>
    </row>
    <row r="113" spans="1:8" x14ac:dyDescent="0.25">
      <c r="A113" t="s">
        <v>64</v>
      </c>
      <c r="B113" t="s">
        <v>50</v>
      </c>
      <c r="C113">
        <v>2051</v>
      </c>
      <c r="D113">
        <v>3187</v>
      </c>
      <c r="E113">
        <v>12247</v>
      </c>
      <c r="F113">
        <v>83367</v>
      </c>
      <c r="G113">
        <v>3653</v>
      </c>
      <c r="H113">
        <v>1</v>
      </c>
    </row>
    <row r="114" spans="1:8" x14ac:dyDescent="0.25">
      <c r="A114" t="s">
        <v>66</v>
      </c>
      <c r="B114" t="s">
        <v>50</v>
      </c>
      <c r="C114">
        <v>1967</v>
      </c>
      <c r="D114">
        <v>2035</v>
      </c>
      <c r="E114">
        <v>11935</v>
      </c>
      <c r="F114">
        <v>144755</v>
      </c>
      <c r="G114">
        <v>4032</v>
      </c>
      <c r="H114">
        <v>1</v>
      </c>
    </row>
    <row r="115" spans="1:8" x14ac:dyDescent="0.25">
      <c r="A115" t="s">
        <v>98</v>
      </c>
      <c r="B115" t="s">
        <v>50</v>
      </c>
      <c r="C115">
        <v>1084</v>
      </c>
      <c r="D115">
        <v>1834</v>
      </c>
      <c r="E115">
        <v>3086</v>
      </c>
      <c r="F115">
        <v>232578</v>
      </c>
      <c r="G115">
        <v>3866</v>
      </c>
      <c r="H115">
        <v>3</v>
      </c>
    </row>
    <row r="116" spans="1:8" x14ac:dyDescent="0.25">
      <c r="A116" t="s">
        <v>95</v>
      </c>
      <c r="B116" t="s">
        <v>50</v>
      </c>
      <c r="C116">
        <v>1169999999999999</v>
      </c>
      <c r="D116">
        <v>2172</v>
      </c>
      <c r="E116">
        <v>3295</v>
      </c>
      <c r="F116">
        <v>176373</v>
      </c>
      <c r="G116">
        <v>2133</v>
      </c>
      <c r="H116">
        <v>3</v>
      </c>
    </row>
    <row r="117" spans="1:8" x14ac:dyDescent="0.25">
      <c r="A117" t="s">
        <v>92</v>
      </c>
      <c r="B117" t="s">
        <v>50</v>
      </c>
      <c r="C117">
        <v>1209</v>
      </c>
      <c r="D117">
        <v>1167</v>
      </c>
      <c r="E117">
        <v>153</v>
      </c>
      <c r="F117">
        <v>112017</v>
      </c>
      <c r="G117">
        <v>1154</v>
      </c>
      <c r="H117">
        <v>3</v>
      </c>
    </row>
    <row r="118" spans="1:8" x14ac:dyDescent="0.25">
      <c r="A118" t="s">
        <v>108</v>
      </c>
      <c r="B118" t="s">
        <v>50</v>
      </c>
      <c r="C118">
        <v>871</v>
      </c>
      <c r="D118">
        <v>2487</v>
      </c>
      <c r="E118">
        <v>7414</v>
      </c>
      <c r="F118">
        <v>81343</v>
      </c>
      <c r="G118">
        <v>4806</v>
      </c>
      <c r="H118">
        <v>3</v>
      </c>
    </row>
    <row r="119" spans="1:8" x14ac:dyDescent="0.25">
      <c r="A119" t="s">
        <v>100</v>
      </c>
      <c r="B119" t="s">
        <v>50</v>
      </c>
      <c r="C119">
        <v>1056</v>
      </c>
      <c r="D119">
        <v>1654</v>
      </c>
      <c r="E119">
        <v>3479</v>
      </c>
      <c r="F119">
        <v>99842</v>
      </c>
      <c r="G119">
        <v>16</v>
      </c>
      <c r="H119">
        <v>3</v>
      </c>
    </row>
    <row r="120" spans="1:8" x14ac:dyDescent="0.25">
      <c r="A120" t="s">
        <v>103</v>
      </c>
      <c r="B120" t="s">
        <v>50</v>
      </c>
      <c r="C120">
        <v>1019</v>
      </c>
      <c r="D120">
        <v>2023</v>
      </c>
      <c r="E120">
        <v>6745</v>
      </c>
      <c r="F120">
        <v>203988</v>
      </c>
      <c r="G120">
        <v>1467</v>
      </c>
      <c r="H120">
        <v>3</v>
      </c>
    </row>
    <row r="121" spans="1:8" x14ac:dyDescent="0.25">
      <c r="A121" t="s">
        <v>93</v>
      </c>
      <c r="B121" t="s">
        <v>50</v>
      </c>
      <c r="C121">
        <v>118</v>
      </c>
      <c r="D121">
        <v>1762</v>
      </c>
      <c r="E121">
        <v>3335</v>
      </c>
      <c r="F121">
        <v>117297</v>
      </c>
      <c r="G121">
        <v>2631</v>
      </c>
      <c r="H121">
        <v>3</v>
      </c>
    </row>
    <row r="122" spans="1:8" x14ac:dyDescent="0.25">
      <c r="A122" t="s">
        <v>78</v>
      </c>
      <c r="B122" t="s">
        <v>50</v>
      </c>
      <c r="C122">
        <v>1445</v>
      </c>
      <c r="D122">
        <v>1901</v>
      </c>
      <c r="E122">
        <v>162</v>
      </c>
      <c r="F122">
        <v>150107</v>
      </c>
      <c r="G122">
        <v>969</v>
      </c>
      <c r="H122">
        <v>3</v>
      </c>
    </row>
    <row r="123" spans="1:8" x14ac:dyDescent="0.25">
      <c r="A123" t="s">
        <v>83</v>
      </c>
      <c r="B123" t="s">
        <v>50</v>
      </c>
      <c r="C123">
        <v>136</v>
      </c>
      <c r="D123">
        <v>2083</v>
      </c>
      <c r="E123">
        <v>4846</v>
      </c>
      <c r="F123">
        <v>99674</v>
      </c>
      <c r="G123">
        <v>698</v>
      </c>
      <c r="H123">
        <v>3</v>
      </c>
    </row>
    <row r="124" spans="1:8" x14ac:dyDescent="0.25">
      <c r="A124" t="s">
        <v>56</v>
      </c>
      <c r="B124" t="s">
        <v>50</v>
      </c>
      <c r="C124">
        <v>2584</v>
      </c>
      <c r="D124">
        <v>1169999999999999</v>
      </c>
      <c r="E124">
        <v>4486</v>
      </c>
      <c r="F124">
        <v>146294</v>
      </c>
      <c r="G124">
        <v>1134</v>
      </c>
      <c r="H124">
        <v>3</v>
      </c>
    </row>
    <row r="125" spans="1:8" x14ac:dyDescent="0.25">
      <c r="A125" t="s">
        <v>67</v>
      </c>
      <c r="B125" t="s">
        <v>50</v>
      </c>
      <c r="C125">
        <v>1835</v>
      </c>
      <c r="D125">
        <v>2615</v>
      </c>
      <c r="E125">
        <v>8766</v>
      </c>
      <c r="F125">
        <v>140289</v>
      </c>
      <c r="G125">
        <v>3703</v>
      </c>
      <c r="H125">
        <v>3</v>
      </c>
    </row>
    <row r="126" spans="1:8" x14ac:dyDescent="0.25">
      <c r="A126" t="s">
        <v>89</v>
      </c>
      <c r="B126" t="s">
        <v>50</v>
      </c>
      <c r="C126">
        <v>125</v>
      </c>
      <c r="D126">
        <v>1002</v>
      </c>
      <c r="E126">
        <v>3019</v>
      </c>
      <c r="F126">
        <v>110266</v>
      </c>
      <c r="G126">
        <v>1409</v>
      </c>
      <c r="H126">
        <v>3</v>
      </c>
    </row>
    <row r="127" spans="1:8" x14ac:dyDescent="0.25">
      <c r="A127" t="s">
        <v>97</v>
      </c>
      <c r="B127" t="s">
        <v>50</v>
      </c>
      <c r="C127">
        <v>1107</v>
      </c>
      <c r="D127">
        <v>3909</v>
      </c>
      <c r="E127">
        <v>3846</v>
      </c>
      <c r="F127">
        <v>162888</v>
      </c>
      <c r="G127">
        <v>13832</v>
      </c>
      <c r="H127">
        <v>2</v>
      </c>
    </row>
    <row r="128" spans="1:8" x14ac:dyDescent="0.25">
      <c r="A128" t="s">
        <v>110</v>
      </c>
      <c r="B128" t="s">
        <v>50</v>
      </c>
      <c r="C128">
        <v>837</v>
      </c>
      <c r="D128">
        <v>373</v>
      </c>
      <c r="E128">
        <v>21432</v>
      </c>
      <c r="F128">
        <v>429778</v>
      </c>
      <c r="G128">
        <v>47</v>
      </c>
      <c r="H128">
        <v>1</v>
      </c>
    </row>
    <row r="129" spans="1:8" x14ac:dyDescent="0.25">
      <c r="A129" t="s">
        <v>105</v>
      </c>
      <c r="B129" t="s">
        <v>50</v>
      </c>
      <c r="C129">
        <v>965</v>
      </c>
      <c r="D129">
        <v>1807</v>
      </c>
      <c r="E129">
        <v>14884</v>
      </c>
      <c r="F129">
        <v>231932</v>
      </c>
      <c r="G129">
        <v>601</v>
      </c>
      <c r="H129">
        <v>1</v>
      </c>
    </row>
    <row r="130" spans="1:8" x14ac:dyDescent="0.25">
      <c r="A130" t="s">
        <v>109</v>
      </c>
      <c r="B130" t="s">
        <v>50</v>
      </c>
      <c r="C130">
        <v>844</v>
      </c>
      <c r="D130">
        <v>1567</v>
      </c>
      <c r="E130">
        <v>6508</v>
      </c>
      <c r="F130">
        <v>161602</v>
      </c>
      <c r="G130">
        <v>3264</v>
      </c>
      <c r="H130">
        <v>3</v>
      </c>
    </row>
    <row r="131" spans="1:8" x14ac:dyDescent="0.25">
      <c r="A131" t="s">
        <v>85</v>
      </c>
      <c r="B131" t="s">
        <v>50</v>
      </c>
      <c r="C131">
        <v>1335</v>
      </c>
      <c r="D131">
        <v>984</v>
      </c>
      <c r="E131">
        <v>1099</v>
      </c>
      <c r="F131">
        <v>146847</v>
      </c>
      <c r="G131">
        <v>1169</v>
      </c>
      <c r="H131">
        <v>3</v>
      </c>
    </row>
    <row r="132" spans="1:8" x14ac:dyDescent="0.25">
      <c r="A132" t="s">
        <v>54</v>
      </c>
      <c r="B132" t="s">
        <v>50</v>
      </c>
      <c r="C132">
        <v>2648</v>
      </c>
      <c r="D132">
        <v>1526</v>
      </c>
      <c r="E132">
        <v>14092</v>
      </c>
      <c r="F132">
        <v>474129</v>
      </c>
      <c r="G132">
        <v>6317</v>
      </c>
      <c r="H132">
        <v>0</v>
      </c>
    </row>
    <row r="133" spans="1:8" x14ac:dyDescent="0.25">
      <c r="A133" t="s">
        <v>117</v>
      </c>
      <c r="B133" t="s">
        <v>50</v>
      </c>
      <c r="C133">
        <v>591</v>
      </c>
      <c r="D133">
        <v>2211</v>
      </c>
      <c r="E133">
        <v>0</v>
      </c>
      <c r="F133">
        <v>308824</v>
      </c>
      <c r="G133">
        <v>26924</v>
      </c>
      <c r="H133">
        <v>2</v>
      </c>
    </row>
    <row r="134" spans="1:8" x14ac:dyDescent="0.25">
      <c r="A134" t="s">
        <v>72</v>
      </c>
      <c r="B134" t="s">
        <v>50</v>
      </c>
      <c r="C134">
        <v>1676</v>
      </c>
      <c r="D134">
        <v>2242</v>
      </c>
      <c r="E134">
        <v>0</v>
      </c>
      <c r="F134">
        <v>146992</v>
      </c>
      <c r="G134">
        <v>672</v>
      </c>
      <c r="H134">
        <v>3</v>
      </c>
    </row>
    <row r="135" spans="1:8" x14ac:dyDescent="0.25">
      <c r="A135" t="s">
        <v>88</v>
      </c>
      <c r="B135" t="s">
        <v>50</v>
      </c>
      <c r="C135">
        <v>1279</v>
      </c>
      <c r="D135">
        <v>2563</v>
      </c>
      <c r="E135">
        <v>3903</v>
      </c>
      <c r="F135">
        <v>128038</v>
      </c>
      <c r="G135">
        <v>6568</v>
      </c>
      <c r="H135">
        <v>2</v>
      </c>
    </row>
    <row r="136" spans="1:8" x14ac:dyDescent="0.25">
      <c r="A136" t="s">
        <v>49</v>
      </c>
      <c r="B136" t="s">
        <v>50</v>
      </c>
      <c r="C136">
        <v>4494</v>
      </c>
      <c r="D136">
        <v>3557</v>
      </c>
      <c r="E136">
        <v>15881</v>
      </c>
      <c r="F136">
        <v>224011</v>
      </c>
      <c r="G136">
        <v>2118</v>
      </c>
      <c r="H136">
        <v>1</v>
      </c>
    </row>
    <row r="137" spans="1:8" x14ac:dyDescent="0.25">
      <c r="A137" t="s">
        <v>99</v>
      </c>
      <c r="B137" t="s">
        <v>50</v>
      </c>
      <c r="C137">
        <v>1077</v>
      </c>
      <c r="D137">
        <v>3688</v>
      </c>
      <c r="E137">
        <v>3064</v>
      </c>
      <c r="F137">
        <v>143931</v>
      </c>
      <c r="G137">
        <v>15528</v>
      </c>
      <c r="H137">
        <v>2</v>
      </c>
    </row>
    <row r="138" spans="1:8" x14ac:dyDescent="0.25">
      <c r="A138" t="s">
        <v>63</v>
      </c>
      <c r="B138" t="s">
        <v>50</v>
      </c>
      <c r="C138">
        <v>2083</v>
      </c>
      <c r="D138">
        <v>1878</v>
      </c>
      <c r="E138">
        <v>17532</v>
      </c>
      <c r="F138">
        <v>59049</v>
      </c>
      <c r="G138">
        <v>4126</v>
      </c>
      <c r="H138">
        <v>0</v>
      </c>
    </row>
    <row r="139" spans="1:8" x14ac:dyDescent="0.25">
      <c r="A139" t="s">
        <v>82</v>
      </c>
      <c r="B139" t="s">
        <v>50</v>
      </c>
      <c r="C139">
        <v>1367</v>
      </c>
      <c r="D139">
        <v>1815</v>
      </c>
      <c r="E139">
        <v>5763</v>
      </c>
      <c r="F139">
        <v>95092</v>
      </c>
      <c r="G139">
        <v>11805</v>
      </c>
      <c r="H139">
        <v>2</v>
      </c>
    </row>
    <row r="140" spans="1:8" x14ac:dyDescent="0.25">
      <c r="A140" t="s">
        <v>121</v>
      </c>
      <c r="B140" t="s">
        <v>50</v>
      </c>
      <c r="C140">
        <v>501</v>
      </c>
      <c r="D140">
        <v>1208</v>
      </c>
      <c r="E140">
        <v>2896</v>
      </c>
      <c r="F140">
        <v>220592</v>
      </c>
      <c r="G140">
        <v>4446</v>
      </c>
      <c r="H140">
        <v>3</v>
      </c>
    </row>
    <row r="141" spans="1:8" x14ac:dyDescent="0.25">
      <c r="A141" t="s">
        <v>71</v>
      </c>
      <c r="B141" t="s">
        <v>50</v>
      </c>
      <c r="C141">
        <v>168</v>
      </c>
      <c r="D141">
        <v>1024</v>
      </c>
      <c r="E141">
        <v>3059</v>
      </c>
      <c r="F141">
        <v>111859</v>
      </c>
      <c r="G141">
        <v>279</v>
      </c>
      <c r="H141">
        <v>3</v>
      </c>
    </row>
    <row r="142" spans="1:8" x14ac:dyDescent="0.25">
      <c r="A142" t="s">
        <v>80</v>
      </c>
      <c r="B142" t="s">
        <v>50</v>
      </c>
      <c r="C142">
        <v>1413</v>
      </c>
      <c r="D142">
        <v>1161</v>
      </c>
      <c r="E142">
        <v>7665</v>
      </c>
      <c r="F142">
        <v>159965</v>
      </c>
      <c r="G142">
        <v>1937</v>
      </c>
      <c r="H142">
        <v>3</v>
      </c>
    </row>
    <row r="143" spans="1:8" x14ac:dyDescent="0.25">
      <c r="A143" t="s">
        <v>91</v>
      </c>
      <c r="B143" t="s">
        <v>50</v>
      </c>
      <c r="C143">
        <v>1239</v>
      </c>
      <c r="D143">
        <v>634</v>
      </c>
      <c r="E143">
        <v>6789</v>
      </c>
      <c r="F143">
        <v>97805</v>
      </c>
      <c r="G143">
        <v>2103</v>
      </c>
      <c r="H143">
        <v>3</v>
      </c>
    </row>
    <row r="144" spans="1:8" x14ac:dyDescent="0.25">
      <c r="A144" t="s">
        <v>53</v>
      </c>
      <c r="B144" t="s">
        <v>50</v>
      </c>
      <c r="C144">
        <v>2831</v>
      </c>
      <c r="D144">
        <v>5822</v>
      </c>
      <c r="E144">
        <v>6326</v>
      </c>
      <c r="F144">
        <v>249292</v>
      </c>
      <c r="G144">
        <v>382</v>
      </c>
      <c r="H144">
        <v>2</v>
      </c>
    </row>
    <row r="145" spans="1:8" x14ac:dyDescent="0.25">
      <c r="A145" t="s">
        <v>52</v>
      </c>
      <c r="B145" t="s">
        <v>50</v>
      </c>
      <c r="C145">
        <v>2975</v>
      </c>
      <c r="D145">
        <v>3173</v>
      </c>
      <c r="E145">
        <v>2444</v>
      </c>
      <c r="F145">
        <v>24925</v>
      </c>
      <c r="G145">
        <v>897</v>
      </c>
      <c r="H145">
        <v>1</v>
      </c>
    </row>
    <row r="146" spans="1:8" x14ac:dyDescent="0.25">
      <c r="A146" t="s">
        <v>84</v>
      </c>
      <c r="B146" t="s">
        <v>50</v>
      </c>
      <c r="C146">
        <v>1345</v>
      </c>
      <c r="D146">
        <v>1699</v>
      </c>
      <c r="E146">
        <v>5114</v>
      </c>
      <c r="F146">
        <v>76403</v>
      </c>
      <c r="G146">
        <v>2323</v>
      </c>
      <c r="H146">
        <v>3</v>
      </c>
    </row>
    <row r="147" spans="1:8" x14ac:dyDescent="0.25">
      <c r="A147" t="s">
        <v>90</v>
      </c>
      <c r="B147" t="s">
        <v>50</v>
      </c>
      <c r="C147">
        <v>1242</v>
      </c>
      <c r="D147">
        <v>1417</v>
      </c>
      <c r="E147">
        <v>7148</v>
      </c>
      <c r="F147">
        <v>19605</v>
      </c>
      <c r="G147">
        <v>155</v>
      </c>
      <c r="H147">
        <v>3</v>
      </c>
    </row>
    <row r="148" spans="1:8" x14ac:dyDescent="0.25">
      <c r="A148" t="s">
        <v>115</v>
      </c>
      <c r="B148" t="s">
        <v>50</v>
      </c>
      <c r="C148">
        <v>604</v>
      </c>
      <c r="D148">
        <v>631</v>
      </c>
      <c r="E148">
        <v>4515</v>
      </c>
      <c r="F148">
        <v>395417</v>
      </c>
      <c r="G148">
        <v>1101</v>
      </c>
      <c r="H148">
        <v>0</v>
      </c>
    </row>
    <row r="149" spans="1:8" x14ac:dyDescent="0.25">
      <c r="A149" t="s">
        <v>116</v>
      </c>
      <c r="B149" t="s">
        <v>50</v>
      </c>
      <c r="C149">
        <v>603</v>
      </c>
      <c r="D149">
        <v>1574</v>
      </c>
      <c r="E149">
        <v>2894</v>
      </c>
      <c r="F149">
        <v>151484</v>
      </c>
      <c r="G149">
        <v>3528</v>
      </c>
      <c r="H149">
        <v>3</v>
      </c>
    </row>
    <row r="150" spans="1:8" x14ac:dyDescent="0.25">
      <c r="A150" t="s">
        <v>74</v>
      </c>
      <c r="B150" t="s">
        <v>50</v>
      </c>
      <c r="C150">
        <v>1635</v>
      </c>
      <c r="D150">
        <v>914</v>
      </c>
      <c r="E150">
        <v>2912</v>
      </c>
      <c r="F150">
        <v>77561</v>
      </c>
      <c r="G150">
        <v>73</v>
      </c>
      <c r="H150">
        <v>3</v>
      </c>
    </row>
    <row r="151" spans="1:8" x14ac:dyDescent="0.25">
      <c r="A151" t="s">
        <v>68</v>
      </c>
      <c r="B151" t="s">
        <v>50</v>
      </c>
      <c r="C151">
        <v>173</v>
      </c>
      <c r="D151">
        <v>1459</v>
      </c>
      <c r="E151">
        <v>1573</v>
      </c>
      <c r="F151">
        <v>129038</v>
      </c>
      <c r="G151">
        <v>1136</v>
      </c>
      <c r="H151">
        <v>3</v>
      </c>
    </row>
    <row r="152" spans="1:8" x14ac:dyDescent="0.25">
      <c r="A152" t="s">
        <v>86</v>
      </c>
      <c r="B152" t="s">
        <v>50</v>
      </c>
      <c r="C152">
        <v>1312</v>
      </c>
      <c r="D152">
        <v>138</v>
      </c>
      <c r="E152">
        <v>3</v>
      </c>
      <c r="F152">
        <v>161456</v>
      </c>
      <c r="G152">
        <v>695</v>
      </c>
      <c r="H152">
        <v>3</v>
      </c>
    </row>
    <row r="153" spans="1:8" x14ac:dyDescent="0.25">
      <c r="A153" t="s">
        <v>101</v>
      </c>
      <c r="B153" t="s">
        <v>50</v>
      </c>
      <c r="C153">
        <v>1055</v>
      </c>
      <c r="D153">
        <v>1639999999999999</v>
      </c>
      <c r="E153">
        <v>7756</v>
      </c>
      <c r="F153">
        <v>479914</v>
      </c>
      <c r="G153">
        <v>3242</v>
      </c>
      <c r="H153">
        <v>0</v>
      </c>
    </row>
    <row r="154" spans="1:8" x14ac:dyDescent="0.25">
      <c r="A154" t="s">
        <v>113</v>
      </c>
      <c r="B154" t="s">
        <v>50</v>
      </c>
      <c r="C154">
        <v>671</v>
      </c>
      <c r="D154">
        <v>1457</v>
      </c>
      <c r="E154">
        <v>2</v>
      </c>
      <c r="F154">
        <v>202105</v>
      </c>
      <c r="G154">
        <v>866</v>
      </c>
      <c r="H154">
        <v>3</v>
      </c>
    </row>
    <row r="155" spans="1:8" x14ac:dyDescent="0.25">
      <c r="A155" t="s">
        <v>75</v>
      </c>
      <c r="B155" t="s">
        <v>50</v>
      </c>
      <c r="C155">
        <v>1615</v>
      </c>
      <c r="D155">
        <v>2249</v>
      </c>
      <c r="E155">
        <v>3689</v>
      </c>
      <c r="F155">
        <v>93612</v>
      </c>
      <c r="G155">
        <v>5393</v>
      </c>
      <c r="H155">
        <v>3</v>
      </c>
    </row>
    <row r="156" spans="1:8" x14ac:dyDescent="0.25">
      <c r="A156" t="s">
        <v>114</v>
      </c>
      <c r="B156" t="s">
        <v>50</v>
      </c>
      <c r="C156">
        <v>646</v>
      </c>
      <c r="D156">
        <v>1395</v>
      </c>
      <c r="E156">
        <v>7715</v>
      </c>
      <c r="F156">
        <v>101918</v>
      </c>
      <c r="G156">
        <v>1581</v>
      </c>
      <c r="H156">
        <v>3</v>
      </c>
    </row>
    <row r="157" spans="1:8" x14ac:dyDescent="0.25">
      <c r="A157" t="s">
        <v>112</v>
      </c>
      <c r="B157" t="s">
        <v>50</v>
      </c>
      <c r="C157">
        <v>715</v>
      </c>
      <c r="D157">
        <v>759</v>
      </c>
      <c r="E157">
        <v>6232</v>
      </c>
      <c r="F157">
        <v>137805</v>
      </c>
      <c r="G157">
        <v>578</v>
      </c>
      <c r="H157">
        <v>3</v>
      </c>
    </row>
    <row r="158" spans="1:8" x14ac:dyDescent="0.25">
      <c r="A158" t="s">
        <v>107</v>
      </c>
      <c r="B158" t="s">
        <v>50</v>
      </c>
      <c r="C158">
        <v>885</v>
      </c>
      <c r="D158">
        <v>2662</v>
      </c>
      <c r="E158">
        <v>1.4369999999999998E+16</v>
      </c>
      <c r="F158">
        <v>336533</v>
      </c>
      <c r="G158">
        <v>18721</v>
      </c>
      <c r="H158">
        <v>2</v>
      </c>
    </row>
    <row r="159" spans="1:8" x14ac:dyDescent="0.25">
      <c r="A159" t="s">
        <v>118</v>
      </c>
      <c r="B159" t="s">
        <v>50</v>
      </c>
      <c r="C159">
        <v>584</v>
      </c>
      <c r="D159">
        <v>866</v>
      </c>
      <c r="E159">
        <v>3482</v>
      </c>
      <c r="F159">
        <v>121786</v>
      </c>
      <c r="G159">
        <v>1635</v>
      </c>
      <c r="H159">
        <v>3</v>
      </c>
    </row>
    <row r="160" spans="1:8" x14ac:dyDescent="0.25">
      <c r="A160" t="s">
        <v>120</v>
      </c>
      <c r="B160" t="s">
        <v>50</v>
      </c>
      <c r="C160">
        <v>523</v>
      </c>
      <c r="D160">
        <v>977</v>
      </c>
      <c r="E160">
        <v>5654</v>
      </c>
      <c r="F160">
        <v>171197</v>
      </c>
      <c r="G160">
        <v>1535</v>
      </c>
      <c r="H160">
        <v>3</v>
      </c>
    </row>
    <row r="161" spans="1:8" x14ac:dyDescent="0.25">
      <c r="A161" t="s">
        <v>55</v>
      </c>
      <c r="B161" t="s">
        <v>50</v>
      </c>
      <c r="C161">
        <v>259</v>
      </c>
      <c r="D161">
        <v>3086</v>
      </c>
      <c r="E161">
        <v>6032</v>
      </c>
      <c r="F161">
        <v>194286</v>
      </c>
      <c r="G161">
        <v>1829</v>
      </c>
      <c r="H161">
        <v>3</v>
      </c>
    </row>
    <row r="162" spans="1:8" x14ac:dyDescent="0.25">
      <c r="A162" t="s">
        <v>81</v>
      </c>
      <c r="B162" t="s">
        <v>50</v>
      </c>
      <c r="C162">
        <v>1375</v>
      </c>
      <c r="D162">
        <v>2094</v>
      </c>
      <c r="E162">
        <v>6418</v>
      </c>
      <c r="F162">
        <v>70</v>
      </c>
      <c r="G162">
        <v>612</v>
      </c>
      <c r="H162">
        <v>3</v>
      </c>
    </row>
    <row r="163" spans="1:8" x14ac:dyDescent="0.25">
      <c r="A163" t="s">
        <v>87</v>
      </c>
      <c r="B163" t="s">
        <v>50</v>
      </c>
      <c r="C163">
        <v>1291</v>
      </c>
      <c r="D163">
        <v>1584</v>
      </c>
      <c r="E163">
        <v>0</v>
      </c>
      <c r="F163">
        <v>122727</v>
      </c>
      <c r="G163">
        <v>10958</v>
      </c>
      <c r="H163">
        <v>2</v>
      </c>
    </row>
    <row r="164" spans="1:8" x14ac:dyDescent="0.25">
      <c r="A164" t="s">
        <v>61</v>
      </c>
      <c r="B164" t="s">
        <v>50</v>
      </c>
      <c r="C164">
        <v>2098</v>
      </c>
      <c r="D164">
        <v>2962</v>
      </c>
      <c r="E164">
        <v>6544</v>
      </c>
      <c r="F164">
        <v>200336</v>
      </c>
      <c r="G164">
        <v>3422</v>
      </c>
      <c r="H164">
        <v>3</v>
      </c>
    </row>
    <row r="165" spans="1:8" x14ac:dyDescent="0.25">
      <c r="A165" t="s">
        <v>59</v>
      </c>
      <c r="B165" t="s">
        <v>50</v>
      </c>
      <c r="C165">
        <v>222</v>
      </c>
      <c r="D165">
        <v>708</v>
      </c>
      <c r="E165">
        <v>16505</v>
      </c>
      <c r="F165">
        <v>146364</v>
      </c>
      <c r="G165">
        <v>2171</v>
      </c>
      <c r="H165">
        <v>1</v>
      </c>
    </row>
    <row r="166" spans="1:8" x14ac:dyDescent="0.25">
      <c r="A166" t="s">
        <v>106</v>
      </c>
      <c r="B166" t="s">
        <v>50</v>
      </c>
      <c r="C166">
        <v>961</v>
      </c>
      <c r="D166">
        <v>1781</v>
      </c>
      <c r="E166">
        <v>8755</v>
      </c>
      <c r="F166">
        <v>64388</v>
      </c>
      <c r="G166">
        <v>5772</v>
      </c>
      <c r="H166">
        <v>3</v>
      </c>
    </row>
    <row r="167" spans="1:8" x14ac:dyDescent="0.25">
      <c r="A167" t="s">
        <v>51</v>
      </c>
      <c r="B167" t="s">
        <v>50</v>
      </c>
      <c r="C167">
        <v>3885</v>
      </c>
      <c r="D167">
        <v>1871</v>
      </c>
      <c r="E167">
        <v>14565</v>
      </c>
      <c r="F167">
        <v>63528</v>
      </c>
      <c r="G167">
        <v>156</v>
      </c>
      <c r="H167">
        <v>1</v>
      </c>
    </row>
    <row r="168" spans="1:8" x14ac:dyDescent="0.25">
      <c r="A168" t="s">
        <v>198</v>
      </c>
      <c r="B168" t="s">
        <v>177</v>
      </c>
      <c r="C168">
        <v>2095</v>
      </c>
      <c r="D168">
        <v>2095</v>
      </c>
      <c r="E168">
        <v>2444</v>
      </c>
      <c r="F168">
        <v>155565</v>
      </c>
      <c r="G168">
        <v>6</v>
      </c>
      <c r="H168">
        <v>3</v>
      </c>
    </row>
    <row r="169" spans="1:8" x14ac:dyDescent="0.25">
      <c r="A169" t="s">
        <v>185</v>
      </c>
      <c r="B169" t="s">
        <v>177</v>
      </c>
      <c r="C169">
        <v>283</v>
      </c>
      <c r="D169">
        <v>1861</v>
      </c>
      <c r="E169">
        <v>6114</v>
      </c>
      <c r="F169">
        <v>114321</v>
      </c>
      <c r="G169">
        <v>8029</v>
      </c>
      <c r="H169">
        <v>2</v>
      </c>
    </row>
    <row r="170" spans="1:8" x14ac:dyDescent="0.25">
      <c r="A170" t="s">
        <v>180</v>
      </c>
      <c r="B170" t="s">
        <v>177</v>
      </c>
      <c r="C170">
        <v>3542</v>
      </c>
      <c r="D170">
        <v>2161</v>
      </c>
      <c r="E170">
        <v>3164</v>
      </c>
      <c r="F170">
        <v>154253</v>
      </c>
      <c r="G170">
        <v>695</v>
      </c>
      <c r="H170">
        <v>3</v>
      </c>
    </row>
    <row r="171" spans="1:8" x14ac:dyDescent="0.25">
      <c r="A171" t="s">
        <v>189</v>
      </c>
      <c r="B171" t="s">
        <v>177</v>
      </c>
      <c r="C171">
        <v>2459</v>
      </c>
      <c r="D171">
        <v>2542</v>
      </c>
      <c r="E171">
        <v>2522</v>
      </c>
      <c r="F171">
        <v>156767</v>
      </c>
      <c r="G171">
        <v>1154</v>
      </c>
      <c r="H171">
        <v>3</v>
      </c>
    </row>
    <row r="172" spans="1:8" x14ac:dyDescent="0.25">
      <c r="A172" t="s">
        <v>230</v>
      </c>
      <c r="B172" t="s">
        <v>177</v>
      </c>
      <c r="C172">
        <v>1362</v>
      </c>
      <c r="D172">
        <v>1182</v>
      </c>
      <c r="E172">
        <v>2475</v>
      </c>
      <c r="F172">
        <v>239091</v>
      </c>
      <c r="G172">
        <v>2082</v>
      </c>
      <c r="H172">
        <v>3</v>
      </c>
    </row>
    <row r="173" spans="1:8" x14ac:dyDescent="0.25">
      <c r="A173" t="s">
        <v>201</v>
      </c>
      <c r="B173" t="s">
        <v>177</v>
      </c>
      <c r="C173">
        <v>2034</v>
      </c>
      <c r="D173">
        <v>3008</v>
      </c>
      <c r="E173">
        <v>0</v>
      </c>
      <c r="F173">
        <v>158182</v>
      </c>
      <c r="G173">
        <v>652</v>
      </c>
      <c r="H173">
        <v>3</v>
      </c>
    </row>
    <row r="174" spans="1:8" x14ac:dyDescent="0.25">
      <c r="A174" t="s">
        <v>228</v>
      </c>
      <c r="B174" t="s">
        <v>177</v>
      </c>
      <c r="C174">
        <v>1385</v>
      </c>
      <c r="D174">
        <v>1093</v>
      </c>
      <c r="E174">
        <v>0</v>
      </c>
      <c r="F174">
        <v>477574</v>
      </c>
      <c r="G174">
        <v>1825</v>
      </c>
      <c r="H174">
        <v>0</v>
      </c>
    </row>
    <row r="175" spans="1:8" x14ac:dyDescent="0.25">
      <c r="A175" t="s">
        <v>197</v>
      </c>
      <c r="B175" t="s">
        <v>177</v>
      </c>
      <c r="C175">
        <v>2207</v>
      </c>
      <c r="D175">
        <v>2123</v>
      </c>
      <c r="E175">
        <v>0</v>
      </c>
      <c r="F175">
        <v>175909</v>
      </c>
      <c r="G175">
        <v>115</v>
      </c>
      <c r="H175">
        <v>3</v>
      </c>
    </row>
    <row r="176" spans="1:8" x14ac:dyDescent="0.25">
      <c r="A176" t="s">
        <v>186</v>
      </c>
      <c r="B176" t="s">
        <v>177</v>
      </c>
      <c r="C176">
        <v>2715</v>
      </c>
      <c r="D176">
        <v>2163</v>
      </c>
      <c r="E176">
        <v>4457</v>
      </c>
      <c r="F176">
        <v>204866</v>
      </c>
      <c r="G176">
        <v>688</v>
      </c>
      <c r="H176">
        <v>3</v>
      </c>
    </row>
    <row r="177" spans="1:8" x14ac:dyDescent="0.25">
      <c r="A177" t="s">
        <v>187</v>
      </c>
      <c r="B177" t="s">
        <v>177</v>
      </c>
      <c r="C177">
        <v>2584</v>
      </c>
      <c r="D177">
        <v>2689999999999999</v>
      </c>
      <c r="E177">
        <v>5049</v>
      </c>
      <c r="F177">
        <v>376667</v>
      </c>
      <c r="G177">
        <v>5038</v>
      </c>
      <c r="H177">
        <v>0</v>
      </c>
    </row>
    <row r="178" spans="1:8" x14ac:dyDescent="0.25">
      <c r="A178" t="s">
        <v>200</v>
      </c>
      <c r="B178" t="s">
        <v>177</v>
      </c>
      <c r="C178">
        <v>2043</v>
      </c>
      <c r="D178">
        <v>351</v>
      </c>
      <c r="E178">
        <v>0</v>
      </c>
      <c r="F178">
        <v>321287</v>
      </c>
      <c r="G178">
        <v>7170000000000001</v>
      </c>
      <c r="H178">
        <v>2</v>
      </c>
    </row>
    <row r="179" spans="1:8" x14ac:dyDescent="0.25">
      <c r="A179" t="s">
        <v>246</v>
      </c>
      <c r="B179" t="s">
        <v>177</v>
      </c>
      <c r="C179">
        <v>1146</v>
      </c>
      <c r="D179">
        <v>2545</v>
      </c>
      <c r="E179">
        <v>1512</v>
      </c>
      <c r="F179">
        <v>125989</v>
      </c>
      <c r="G179">
        <v>2425</v>
      </c>
      <c r="H179">
        <v>3</v>
      </c>
    </row>
    <row r="180" spans="1:8" x14ac:dyDescent="0.25">
      <c r="A180" t="s">
        <v>188</v>
      </c>
      <c r="B180" t="s">
        <v>177</v>
      </c>
      <c r="C180">
        <v>2488</v>
      </c>
      <c r="D180">
        <v>3334</v>
      </c>
      <c r="E180">
        <v>2452</v>
      </c>
      <c r="F180">
        <v>144695</v>
      </c>
      <c r="G180">
        <v>2032</v>
      </c>
      <c r="H180">
        <v>3</v>
      </c>
    </row>
    <row r="181" spans="1:8" x14ac:dyDescent="0.25">
      <c r="A181" t="s">
        <v>242</v>
      </c>
      <c r="B181" t="s">
        <v>177</v>
      </c>
      <c r="C181">
        <v>1169</v>
      </c>
      <c r="D181">
        <v>1468</v>
      </c>
      <c r="E181">
        <v>1979</v>
      </c>
      <c r="F181">
        <v>400583</v>
      </c>
      <c r="G181">
        <v>159</v>
      </c>
      <c r="H181">
        <v>0</v>
      </c>
    </row>
    <row r="182" spans="1:8" x14ac:dyDescent="0.25">
      <c r="A182" t="s">
        <v>238</v>
      </c>
      <c r="B182" t="s">
        <v>177</v>
      </c>
      <c r="C182">
        <v>1257</v>
      </c>
      <c r="D182">
        <v>1372</v>
      </c>
      <c r="E182">
        <v>2655</v>
      </c>
      <c r="F182">
        <v>17599</v>
      </c>
      <c r="G182">
        <v>2802</v>
      </c>
      <c r="H182">
        <v>3</v>
      </c>
    </row>
    <row r="183" spans="1:8" x14ac:dyDescent="0.25">
      <c r="A183" t="s">
        <v>231</v>
      </c>
      <c r="B183" t="s">
        <v>177</v>
      </c>
      <c r="C183">
        <v>1361</v>
      </c>
      <c r="D183">
        <v>2142</v>
      </c>
      <c r="E183">
        <v>504</v>
      </c>
      <c r="F183">
        <v>253783</v>
      </c>
      <c r="G183">
        <v>1888</v>
      </c>
      <c r="H183">
        <v>3</v>
      </c>
    </row>
    <row r="184" spans="1:8" x14ac:dyDescent="0.25">
      <c r="A184" t="s">
        <v>216</v>
      </c>
      <c r="B184" t="s">
        <v>177</v>
      </c>
      <c r="C184">
        <v>165</v>
      </c>
      <c r="D184">
        <v>2849</v>
      </c>
      <c r="E184">
        <v>0</v>
      </c>
      <c r="F184">
        <v>295214</v>
      </c>
      <c r="G184">
        <v>3861</v>
      </c>
      <c r="H184">
        <v>0</v>
      </c>
    </row>
    <row r="185" spans="1:8" x14ac:dyDescent="0.25">
      <c r="A185" t="s">
        <v>208</v>
      </c>
      <c r="B185" t="s">
        <v>177</v>
      </c>
      <c r="C185">
        <v>1859</v>
      </c>
      <c r="D185">
        <v>1402</v>
      </c>
      <c r="E185">
        <v>2116</v>
      </c>
      <c r="F185">
        <v>222194</v>
      </c>
      <c r="G185">
        <v>1606</v>
      </c>
      <c r="H185">
        <v>3</v>
      </c>
    </row>
    <row r="186" spans="1:8" x14ac:dyDescent="0.25">
      <c r="A186" t="s">
        <v>244</v>
      </c>
      <c r="B186" t="s">
        <v>177</v>
      </c>
      <c r="C186">
        <v>1158</v>
      </c>
      <c r="D186">
        <v>801</v>
      </c>
      <c r="E186">
        <v>5948</v>
      </c>
      <c r="F186">
        <v>343272</v>
      </c>
      <c r="G186">
        <v>769</v>
      </c>
      <c r="H186">
        <v>0</v>
      </c>
    </row>
    <row r="187" spans="1:8" x14ac:dyDescent="0.25">
      <c r="A187" t="s">
        <v>196</v>
      </c>
      <c r="B187" t="s">
        <v>177</v>
      </c>
      <c r="C187">
        <v>2269999999999999</v>
      </c>
      <c r="D187">
        <v>1795</v>
      </c>
      <c r="E187">
        <v>1502</v>
      </c>
      <c r="F187">
        <v>336853</v>
      </c>
      <c r="G187">
        <v>529</v>
      </c>
      <c r="H187">
        <v>0</v>
      </c>
    </row>
    <row r="188" spans="1:8" x14ac:dyDescent="0.25">
      <c r="A188" t="s">
        <v>241</v>
      </c>
      <c r="B188" t="s">
        <v>177</v>
      </c>
      <c r="C188">
        <v>12</v>
      </c>
      <c r="D188">
        <v>1238</v>
      </c>
      <c r="E188">
        <v>0</v>
      </c>
      <c r="F188">
        <v>315798</v>
      </c>
      <c r="G188">
        <v>1315</v>
      </c>
      <c r="H188">
        <v>0</v>
      </c>
    </row>
    <row r="189" spans="1:8" x14ac:dyDescent="0.25">
      <c r="A189" t="s">
        <v>239</v>
      </c>
      <c r="B189" t="s">
        <v>177</v>
      </c>
      <c r="C189">
        <v>1243</v>
      </c>
      <c r="D189">
        <v>1185</v>
      </c>
      <c r="E189">
        <v>618</v>
      </c>
      <c r="F189">
        <v>173132</v>
      </c>
      <c r="G189">
        <v>651</v>
      </c>
      <c r="H189">
        <v>3</v>
      </c>
    </row>
    <row r="190" spans="1:8" x14ac:dyDescent="0.25">
      <c r="A190" t="s">
        <v>205</v>
      </c>
      <c r="B190" t="s">
        <v>177</v>
      </c>
      <c r="C190">
        <v>1977</v>
      </c>
      <c r="D190">
        <v>1488</v>
      </c>
      <c r="E190">
        <v>4283</v>
      </c>
      <c r="F190">
        <v>135484</v>
      </c>
      <c r="G190">
        <v>512</v>
      </c>
      <c r="H190">
        <v>3</v>
      </c>
    </row>
    <row r="191" spans="1:8" x14ac:dyDescent="0.25">
      <c r="A191" t="s">
        <v>181</v>
      </c>
      <c r="B191" t="s">
        <v>177</v>
      </c>
      <c r="C191">
        <v>3445</v>
      </c>
      <c r="D191">
        <v>2894</v>
      </c>
      <c r="E191">
        <v>7922</v>
      </c>
      <c r="F191">
        <v>209857</v>
      </c>
      <c r="G191">
        <v>9756</v>
      </c>
      <c r="H191">
        <v>2</v>
      </c>
    </row>
    <row r="192" spans="1:8" x14ac:dyDescent="0.25">
      <c r="A192" t="s">
        <v>247</v>
      </c>
      <c r="B192" t="s">
        <v>177</v>
      </c>
      <c r="C192">
        <v>1134</v>
      </c>
      <c r="D192">
        <v>17</v>
      </c>
      <c r="E192">
        <v>2054</v>
      </c>
      <c r="F192">
        <v>336684</v>
      </c>
      <c r="G192">
        <v>2446</v>
      </c>
      <c r="H192">
        <v>0</v>
      </c>
    </row>
    <row r="193" spans="1:8" x14ac:dyDescent="0.25">
      <c r="A193" t="s">
        <v>209</v>
      </c>
      <c r="B193" t="s">
        <v>177</v>
      </c>
      <c r="C193">
        <v>1851</v>
      </c>
      <c r="D193">
        <v>2047</v>
      </c>
      <c r="E193">
        <v>478</v>
      </c>
      <c r="F193">
        <v>240</v>
      </c>
      <c r="G193">
        <v>221</v>
      </c>
      <c r="H193">
        <v>3</v>
      </c>
    </row>
    <row r="194" spans="1:8" x14ac:dyDescent="0.25">
      <c r="A194" t="s">
        <v>184</v>
      </c>
      <c r="B194" t="s">
        <v>177</v>
      </c>
      <c r="C194">
        <v>2947</v>
      </c>
      <c r="D194">
        <v>2138</v>
      </c>
      <c r="E194">
        <v>1621</v>
      </c>
      <c r="F194">
        <v>257767</v>
      </c>
      <c r="G194">
        <v>753</v>
      </c>
      <c r="H194">
        <v>3</v>
      </c>
    </row>
    <row r="195" spans="1:8" x14ac:dyDescent="0.25">
      <c r="A195" t="s">
        <v>194</v>
      </c>
      <c r="B195" t="s">
        <v>177</v>
      </c>
      <c r="C195">
        <v>2289999999999999</v>
      </c>
      <c r="D195">
        <v>2646</v>
      </c>
      <c r="E195">
        <v>5663</v>
      </c>
      <c r="F195">
        <v>228987</v>
      </c>
      <c r="G195">
        <v>986</v>
      </c>
      <c r="H195">
        <v>3</v>
      </c>
    </row>
    <row r="196" spans="1:8" x14ac:dyDescent="0.25">
      <c r="A196" t="s">
        <v>212</v>
      </c>
      <c r="B196" t="s">
        <v>177</v>
      </c>
      <c r="C196">
        <v>1807</v>
      </c>
      <c r="D196">
        <v>1997</v>
      </c>
      <c r="E196">
        <v>0</v>
      </c>
      <c r="F196">
        <v>226434</v>
      </c>
      <c r="G196">
        <v>2787</v>
      </c>
      <c r="H196">
        <v>3</v>
      </c>
    </row>
    <row r="197" spans="1:8" x14ac:dyDescent="0.25">
      <c r="A197" t="s">
        <v>234</v>
      </c>
      <c r="B197" t="s">
        <v>177</v>
      </c>
      <c r="C197">
        <v>1323</v>
      </c>
      <c r="D197">
        <v>2197</v>
      </c>
      <c r="E197">
        <v>1834</v>
      </c>
      <c r="F197">
        <v>247363</v>
      </c>
      <c r="G197">
        <v>877</v>
      </c>
      <c r="H197">
        <v>3</v>
      </c>
    </row>
    <row r="198" spans="1:8" x14ac:dyDescent="0.25">
      <c r="A198" t="s">
        <v>176</v>
      </c>
      <c r="B198" t="s">
        <v>177</v>
      </c>
      <c r="C198">
        <v>4505</v>
      </c>
      <c r="D198">
        <v>1666</v>
      </c>
      <c r="E198">
        <v>0</v>
      </c>
      <c r="F198">
        <v>373578</v>
      </c>
      <c r="G198">
        <v>1872</v>
      </c>
      <c r="H198">
        <v>0</v>
      </c>
    </row>
    <row r="199" spans="1:8" x14ac:dyDescent="0.25">
      <c r="A199" t="s">
        <v>251</v>
      </c>
      <c r="B199" t="s">
        <v>177</v>
      </c>
      <c r="C199">
        <v>1036</v>
      </c>
      <c r="D199">
        <v>1059</v>
      </c>
      <c r="E199">
        <v>7729</v>
      </c>
      <c r="F199">
        <v>261345</v>
      </c>
      <c r="G199">
        <v>577</v>
      </c>
      <c r="H199">
        <v>3</v>
      </c>
    </row>
    <row r="200" spans="1:8" x14ac:dyDescent="0.25">
      <c r="A200" t="s">
        <v>223</v>
      </c>
      <c r="B200" t="s">
        <v>177</v>
      </c>
      <c r="C200">
        <v>1507</v>
      </c>
      <c r="D200">
        <v>866</v>
      </c>
      <c r="E200">
        <v>6739</v>
      </c>
      <c r="F200">
        <v>134548</v>
      </c>
      <c r="G200">
        <v>99</v>
      </c>
      <c r="H200">
        <v>3</v>
      </c>
    </row>
    <row r="201" spans="1:8" x14ac:dyDescent="0.25">
      <c r="A201" t="s">
        <v>240</v>
      </c>
      <c r="B201" t="s">
        <v>177</v>
      </c>
      <c r="C201">
        <v>124</v>
      </c>
      <c r="D201">
        <v>1179</v>
      </c>
      <c r="E201">
        <v>766</v>
      </c>
      <c r="F201">
        <v>427887</v>
      </c>
      <c r="G201">
        <v>617</v>
      </c>
      <c r="H201">
        <v>0</v>
      </c>
    </row>
    <row r="202" spans="1:8" x14ac:dyDescent="0.25">
      <c r="A202" t="s">
        <v>202</v>
      </c>
      <c r="B202" t="s">
        <v>177</v>
      </c>
      <c r="C202">
        <v>2034</v>
      </c>
      <c r="D202">
        <v>4061</v>
      </c>
      <c r="E202">
        <v>876</v>
      </c>
      <c r="F202">
        <v>168239</v>
      </c>
      <c r="G202">
        <v>2473</v>
      </c>
      <c r="H202">
        <v>2</v>
      </c>
    </row>
    <row r="203" spans="1:8" x14ac:dyDescent="0.25">
      <c r="A203" t="s">
        <v>179</v>
      </c>
      <c r="B203" t="s">
        <v>177</v>
      </c>
      <c r="C203">
        <v>3751</v>
      </c>
      <c r="D203">
        <v>1435</v>
      </c>
      <c r="E203">
        <v>0</v>
      </c>
      <c r="F203">
        <v>304915</v>
      </c>
      <c r="G203">
        <v>915</v>
      </c>
      <c r="H203">
        <v>0</v>
      </c>
    </row>
    <row r="204" spans="1:8" x14ac:dyDescent="0.25">
      <c r="A204" t="s">
        <v>178</v>
      </c>
      <c r="B204" t="s">
        <v>177</v>
      </c>
      <c r="C204">
        <v>4003</v>
      </c>
      <c r="D204">
        <v>3603</v>
      </c>
      <c r="E204">
        <v>918</v>
      </c>
      <c r="F204">
        <v>119968</v>
      </c>
      <c r="G204">
        <v>1028</v>
      </c>
      <c r="H204">
        <v>1</v>
      </c>
    </row>
    <row r="205" spans="1:8" x14ac:dyDescent="0.25">
      <c r="A205" t="s">
        <v>210</v>
      </c>
      <c r="B205" t="s">
        <v>177</v>
      </c>
      <c r="C205">
        <v>1848</v>
      </c>
      <c r="D205">
        <v>1664</v>
      </c>
      <c r="E205">
        <v>2384</v>
      </c>
      <c r="F205">
        <v>160217</v>
      </c>
      <c r="G205">
        <v>1061</v>
      </c>
      <c r="H205">
        <v>3</v>
      </c>
    </row>
    <row r="206" spans="1:8" x14ac:dyDescent="0.25">
      <c r="A206" t="s">
        <v>211</v>
      </c>
      <c r="B206" t="s">
        <v>177</v>
      </c>
      <c r="C206">
        <v>1813</v>
      </c>
      <c r="D206">
        <v>4409</v>
      </c>
      <c r="E206">
        <v>0</v>
      </c>
      <c r="F206">
        <v>224486</v>
      </c>
      <c r="G206">
        <v>73</v>
      </c>
      <c r="H206">
        <v>3</v>
      </c>
    </row>
    <row r="207" spans="1:8" x14ac:dyDescent="0.25">
      <c r="A207" t="s">
        <v>195</v>
      </c>
      <c r="B207" t="s">
        <v>177</v>
      </c>
      <c r="C207">
        <v>2273</v>
      </c>
      <c r="D207">
        <v>1797</v>
      </c>
      <c r="E207">
        <v>0</v>
      </c>
      <c r="F207">
        <v>287506</v>
      </c>
      <c r="G207">
        <v>1693</v>
      </c>
      <c r="H207">
        <v>0</v>
      </c>
    </row>
    <row r="208" spans="1:8" x14ac:dyDescent="0.25">
      <c r="A208" t="s">
        <v>222</v>
      </c>
      <c r="B208" t="s">
        <v>177</v>
      </c>
      <c r="C208">
        <v>1516</v>
      </c>
      <c r="D208">
        <v>2076</v>
      </c>
      <c r="E208">
        <v>7239</v>
      </c>
      <c r="F208">
        <v>238462</v>
      </c>
      <c r="G208">
        <v>1502</v>
      </c>
      <c r="H208">
        <v>3</v>
      </c>
    </row>
    <row r="209" spans="1:8" x14ac:dyDescent="0.25">
      <c r="A209" t="s">
        <v>192</v>
      </c>
      <c r="B209" t="s">
        <v>177</v>
      </c>
      <c r="C209">
        <v>2439</v>
      </c>
      <c r="D209">
        <v>1327</v>
      </c>
      <c r="E209">
        <v>9136</v>
      </c>
      <c r="F209">
        <v>238097</v>
      </c>
      <c r="G209">
        <v>1584</v>
      </c>
      <c r="H209">
        <v>1</v>
      </c>
    </row>
    <row r="210" spans="1:8" x14ac:dyDescent="0.25">
      <c r="A210" t="s">
        <v>183</v>
      </c>
      <c r="B210" t="s">
        <v>177</v>
      </c>
      <c r="C210">
        <v>3149</v>
      </c>
      <c r="D210">
        <v>6114</v>
      </c>
      <c r="E210">
        <v>0</v>
      </c>
      <c r="F210">
        <v>110712</v>
      </c>
      <c r="G210">
        <v>6516</v>
      </c>
      <c r="H210">
        <v>2</v>
      </c>
    </row>
    <row r="211" spans="1:8" x14ac:dyDescent="0.25">
      <c r="A211" t="s">
        <v>218</v>
      </c>
      <c r="B211" t="s">
        <v>177</v>
      </c>
      <c r="C211">
        <v>1641</v>
      </c>
      <c r="D211">
        <v>1628</v>
      </c>
      <c r="E211">
        <v>0</v>
      </c>
      <c r="F211">
        <v>344409</v>
      </c>
      <c r="G211">
        <v>3018</v>
      </c>
      <c r="H211">
        <v>0</v>
      </c>
    </row>
    <row r="212" spans="1:8" x14ac:dyDescent="0.25">
      <c r="A212" t="s">
        <v>250</v>
      </c>
      <c r="B212" t="s">
        <v>177</v>
      </c>
      <c r="C212">
        <v>107</v>
      </c>
      <c r="D212">
        <v>1483</v>
      </c>
      <c r="E212">
        <v>0</v>
      </c>
      <c r="F212">
        <v>168664</v>
      </c>
      <c r="G212">
        <v>1665</v>
      </c>
      <c r="H212">
        <v>3</v>
      </c>
    </row>
    <row r="213" spans="1:8" x14ac:dyDescent="0.25">
      <c r="A213" t="s">
        <v>237</v>
      </c>
      <c r="B213" t="s">
        <v>177</v>
      </c>
      <c r="C213">
        <v>1268</v>
      </c>
      <c r="D213">
        <v>1153</v>
      </c>
      <c r="E213">
        <v>122</v>
      </c>
      <c r="F213">
        <v>21831</v>
      </c>
      <c r="G213">
        <v>745</v>
      </c>
      <c r="H213">
        <v>3</v>
      </c>
    </row>
    <row r="214" spans="1:8" x14ac:dyDescent="0.25">
      <c r="A214" t="s">
        <v>224</v>
      </c>
      <c r="B214" t="s">
        <v>177</v>
      </c>
      <c r="C214">
        <v>1501</v>
      </c>
      <c r="D214">
        <v>954</v>
      </c>
      <c r="E214">
        <v>0</v>
      </c>
      <c r="F214">
        <v>322635</v>
      </c>
      <c r="G214">
        <v>3151</v>
      </c>
      <c r="H214">
        <v>0</v>
      </c>
    </row>
    <row r="215" spans="1:8" x14ac:dyDescent="0.25">
      <c r="A215" t="s">
        <v>233</v>
      </c>
      <c r="B215" t="s">
        <v>177</v>
      </c>
      <c r="C215">
        <v>1329</v>
      </c>
      <c r="D215">
        <v>1343</v>
      </c>
      <c r="E215">
        <v>8036</v>
      </c>
      <c r="F215">
        <v>263407</v>
      </c>
      <c r="G215">
        <v>1917</v>
      </c>
      <c r="H215">
        <v>3</v>
      </c>
    </row>
    <row r="216" spans="1:8" x14ac:dyDescent="0.25">
      <c r="A216" t="s">
        <v>193</v>
      </c>
      <c r="B216" t="s">
        <v>177</v>
      </c>
      <c r="C216">
        <v>2363</v>
      </c>
      <c r="D216">
        <v>1855</v>
      </c>
      <c r="E216">
        <v>0</v>
      </c>
      <c r="F216">
        <v>375</v>
      </c>
      <c r="G216">
        <v>7812</v>
      </c>
      <c r="H216">
        <v>0</v>
      </c>
    </row>
    <row r="217" spans="1:8" x14ac:dyDescent="0.25">
      <c r="A217" t="s">
        <v>249</v>
      </c>
      <c r="B217" t="s">
        <v>177</v>
      </c>
      <c r="C217">
        <v>107</v>
      </c>
      <c r="D217">
        <v>1269</v>
      </c>
      <c r="E217">
        <v>0</v>
      </c>
      <c r="F217">
        <v>284444</v>
      </c>
      <c r="G217">
        <v>907</v>
      </c>
      <c r="H217">
        <v>0</v>
      </c>
    </row>
    <row r="218" spans="1:8" x14ac:dyDescent="0.25">
      <c r="A218" t="s">
        <v>220</v>
      </c>
      <c r="B218" t="s">
        <v>177</v>
      </c>
      <c r="C218">
        <v>1603</v>
      </c>
      <c r="D218">
        <v>812</v>
      </c>
      <c r="E218">
        <v>763</v>
      </c>
      <c r="F218">
        <v>136806</v>
      </c>
      <c r="G218">
        <v>2074</v>
      </c>
      <c r="H218">
        <v>3</v>
      </c>
    </row>
    <row r="219" spans="1:8" x14ac:dyDescent="0.25">
      <c r="A219" t="s">
        <v>213</v>
      </c>
      <c r="B219" t="s">
        <v>177</v>
      </c>
      <c r="C219">
        <v>1804</v>
      </c>
      <c r="D219">
        <v>1453</v>
      </c>
      <c r="E219">
        <v>5291</v>
      </c>
      <c r="F219">
        <v>220209</v>
      </c>
      <c r="G219">
        <v>119</v>
      </c>
      <c r="H219">
        <v>3</v>
      </c>
    </row>
    <row r="220" spans="1:8" x14ac:dyDescent="0.25">
      <c r="A220" t="s">
        <v>225</v>
      </c>
      <c r="B220" t="s">
        <v>177</v>
      </c>
      <c r="C220">
        <v>1462</v>
      </c>
      <c r="D220">
        <v>1537</v>
      </c>
      <c r="E220">
        <v>16</v>
      </c>
      <c r="F220">
        <v>179167</v>
      </c>
      <c r="G220">
        <v>2841</v>
      </c>
      <c r="H220">
        <v>3</v>
      </c>
    </row>
    <row r="221" spans="1:8" x14ac:dyDescent="0.25">
      <c r="A221" t="s">
        <v>215</v>
      </c>
      <c r="B221" t="s">
        <v>177</v>
      </c>
      <c r="C221">
        <v>1688</v>
      </c>
      <c r="D221">
        <v>968</v>
      </c>
      <c r="E221">
        <v>3094</v>
      </c>
      <c r="F221">
        <v>193884</v>
      </c>
      <c r="G221">
        <v>551</v>
      </c>
      <c r="H221">
        <v>3</v>
      </c>
    </row>
    <row r="222" spans="1:8" x14ac:dyDescent="0.25">
      <c r="A222" t="s">
        <v>214</v>
      </c>
      <c r="B222" t="s">
        <v>177</v>
      </c>
      <c r="C222">
        <v>1799</v>
      </c>
      <c r="D222">
        <v>2504</v>
      </c>
      <c r="E222">
        <v>0</v>
      </c>
      <c r="F222">
        <v>208652</v>
      </c>
      <c r="G222">
        <v>1522</v>
      </c>
      <c r="H222">
        <v>3</v>
      </c>
    </row>
    <row r="223" spans="1:8" x14ac:dyDescent="0.25">
      <c r="A223" t="s">
        <v>245</v>
      </c>
      <c r="B223" t="s">
        <v>177</v>
      </c>
      <c r="C223">
        <v>1149</v>
      </c>
      <c r="D223">
        <v>2721</v>
      </c>
      <c r="E223">
        <v>0</v>
      </c>
      <c r="F223">
        <v>296029</v>
      </c>
      <c r="G223">
        <v>868</v>
      </c>
      <c r="H223">
        <v>0</v>
      </c>
    </row>
    <row r="224" spans="1:8" x14ac:dyDescent="0.25">
      <c r="A224" t="s">
        <v>229</v>
      </c>
      <c r="B224" t="s">
        <v>177</v>
      </c>
      <c r="C224">
        <v>1385</v>
      </c>
      <c r="D224">
        <v>814</v>
      </c>
      <c r="E224">
        <v>3543</v>
      </c>
      <c r="F224">
        <v>285337</v>
      </c>
      <c r="G224">
        <v>917</v>
      </c>
      <c r="H224">
        <v>0</v>
      </c>
    </row>
    <row r="225" spans="1:8" x14ac:dyDescent="0.25">
      <c r="A225" t="s">
        <v>248</v>
      </c>
      <c r="B225" t="s">
        <v>177</v>
      </c>
      <c r="C225">
        <v>1131</v>
      </c>
      <c r="D225">
        <v>1016</v>
      </c>
      <c r="E225">
        <v>0</v>
      </c>
      <c r="F225">
        <v>31404</v>
      </c>
      <c r="G225">
        <v>608</v>
      </c>
      <c r="H225">
        <v>0</v>
      </c>
    </row>
    <row r="226" spans="1:8" x14ac:dyDescent="0.25">
      <c r="A226" t="s">
        <v>203</v>
      </c>
      <c r="B226" t="s">
        <v>177</v>
      </c>
      <c r="C226">
        <v>1992</v>
      </c>
      <c r="D226">
        <v>2264</v>
      </c>
      <c r="E226">
        <v>0</v>
      </c>
      <c r="F226">
        <v>410326</v>
      </c>
      <c r="G226">
        <v>2373</v>
      </c>
      <c r="H226">
        <v>0</v>
      </c>
    </row>
    <row r="227" spans="1:8" x14ac:dyDescent="0.25">
      <c r="A227" t="s">
        <v>219</v>
      </c>
      <c r="B227" t="s">
        <v>177</v>
      </c>
      <c r="C227">
        <v>1609</v>
      </c>
      <c r="D227">
        <v>1373</v>
      </c>
      <c r="E227">
        <v>0</v>
      </c>
      <c r="F227">
        <v>167736</v>
      </c>
      <c r="G227">
        <v>74</v>
      </c>
      <c r="H227">
        <v>3</v>
      </c>
    </row>
    <row r="228" spans="1:8" x14ac:dyDescent="0.25">
      <c r="A228" t="s">
        <v>236</v>
      </c>
      <c r="B228" t="s">
        <v>177</v>
      </c>
      <c r="C228">
        <v>1287</v>
      </c>
      <c r="D228">
        <v>1688</v>
      </c>
      <c r="E228">
        <v>25</v>
      </c>
      <c r="F228">
        <v>174026</v>
      </c>
      <c r="G228">
        <v>772</v>
      </c>
      <c r="H228">
        <v>3</v>
      </c>
    </row>
    <row r="229" spans="1:8" x14ac:dyDescent="0.25">
      <c r="A229" t="s">
        <v>221</v>
      </c>
      <c r="B229" t="s">
        <v>177</v>
      </c>
      <c r="C229">
        <v>1533</v>
      </c>
      <c r="D229">
        <v>1606</v>
      </c>
      <c r="E229">
        <v>0</v>
      </c>
      <c r="F229">
        <v>146226</v>
      </c>
      <c r="G229">
        <v>126</v>
      </c>
      <c r="H229">
        <v>3</v>
      </c>
    </row>
    <row r="230" spans="1:8" x14ac:dyDescent="0.25">
      <c r="A230" t="s">
        <v>252</v>
      </c>
      <c r="B230" t="s">
        <v>177</v>
      </c>
      <c r="C230">
        <v>1001</v>
      </c>
      <c r="D230">
        <v>823</v>
      </c>
      <c r="E230">
        <v>0</v>
      </c>
      <c r="F230">
        <v>128788</v>
      </c>
      <c r="G230">
        <v>601</v>
      </c>
      <c r="H230">
        <v>3</v>
      </c>
    </row>
    <row r="231" spans="1:8" x14ac:dyDescent="0.25">
      <c r="A231" t="s">
        <v>232</v>
      </c>
      <c r="B231" t="s">
        <v>177</v>
      </c>
      <c r="C231">
        <v>1348</v>
      </c>
      <c r="D231">
        <v>1151</v>
      </c>
      <c r="E231">
        <v>2683</v>
      </c>
      <c r="F231">
        <v>22777</v>
      </c>
      <c r="G231">
        <v>1242</v>
      </c>
      <c r="H231">
        <v>3</v>
      </c>
    </row>
    <row r="232" spans="1:8" x14ac:dyDescent="0.25">
      <c r="A232" t="s">
        <v>182</v>
      </c>
      <c r="B232" t="s">
        <v>177</v>
      </c>
      <c r="C232">
        <v>3355</v>
      </c>
      <c r="D232">
        <v>1671</v>
      </c>
      <c r="E232">
        <v>0</v>
      </c>
      <c r="F232">
        <v>152</v>
      </c>
      <c r="G232">
        <v>703</v>
      </c>
      <c r="H232">
        <v>3</v>
      </c>
    </row>
    <row r="233" spans="1:8" x14ac:dyDescent="0.25">
      <c r="A233" t="s">
        <v>206</v>
      </c>
      <c r="B233" t="s">
        <v>177</v>
      </c>
      <c r="C233">
        <v>196</v>
      </c>
      <c r="D233">
        <v>264</v>
      </c>
      <c r="E233">
        <v>0</v>
      </c>
      <c r="F233">
        <v>351053</v>
      </c>
      <c r="G233">
        <v>138</v>
      </c>
      <c r="H233">
        <v>0</v>
      </c>
    </row>
    <row r="234" spans="1:8" x14ac:dyDescent="0.25">
      <c r="A234" t="s">
        <v>207</v>
      </c>
      <c r="B234" t="s">
        <v>177</v>
      </c>
      <c r="C234">
        <v>1915</v>
      </c>
      <c r="D234">
        <v>2604</v>
      </c>
      <c r="E234">
        <v>34</v>
      </c>
      <c r="F234">
        <v>194597</v>
      </c>
      <c r="G234">
        <v>188</v>
      </c>
      <c r="H234">
        <v>3</v>
      </c>
    </row>
    <row r="235" spans="1:8" x14ac:dyDescent="0.25">
      <c r="A235" t="s">
        <v>191</v>
      </c>
      <c r="B235" t="s">
        <v>177</v>
      </c>
      <c r="C235">
        <v>2447</v>
      </c>
      <c r="D235">
        <v>2191</v>
      </c>
      <c r="E235">
        <v>0</v>
      </c>
      <c r="F235">
        <v>135517</v>
      </c>
      <c r="G235">
        <v>3539</v>
      </c>
      <c r="H235">
        <v>3</v>
      </c>
    </row>
    <row r="236" spans="1:8" x14ac:dyDescent="0.25">
      <c r="A236" t="s">
        <v>190</v>
      </c>
      <c r="B236" t="s">
        <v>177</v>
      </c>
      <c r="C236">
        <v>2452</v>
      </c>
      <c r="D236">
        <v>1244</v>
      </c>
      <c r="E236">
        <v>1225</v>
      </c>
      <c r="F236">
        <v>11419</v>
      </c>
      <c r="G236">
        <v>4867</v>
      </c>
      <c r="H236">
        <v>3</v>
      </c>
    </row>
    <row r="237" spans="1:8" x14ac:dyDescent="0.25">
      <c r="A237" t="s">
        <v>204</v>
      </c>
      <c r="B237" t="s">
        <v>177</v>
      </c>
      <c r="C237">
        <v>1982</v>
      </c>
      <c r="D237">
        <v>1266</v>
      </c>
      <c r="E237">
        <v>203</v>
      </c>
      <c r="F237">
        <v>19284</v>
      </c>
      <c r="G237">
        <v>2607</v>
      </c>
      <c r="H237">
        <v>3</v>
      </c>
    </row>
    <row r="238" spans="1:8" x14ac:dyDescent="0.25">
      <c r="A238" t="s">
        <v>199</v>
      </c>
      <c r="B238" t="s">
        <v>177</v>
      </c>
      <c r="C238">
        <v>2087</v>
      </c>
      <c r="D238">
        <v>1203</v>
      </c>
      <c r="E238">
        <v>1.2009999999999998E+16</v>
      </c>
      <c r="F238">
        <v>196786</v>
      </c>
      <c r="G238">
        <v>613</v>
      </c>
      <c r="H238">
        <v>1</v>
      </c>
    </row>
    <row r="239" spans="1:8" x14ac:dyDescent="0.25">
      <c r="A239" t="s">
        <v>235</v>
      </c>
      <c r="B239" t="s">
        <v>177</v>
      </c>
      <c r="C239">
        <v>1299</v>
      </c>
      <c r="D239">
        <v>1546</v>
      </c>
      <c r="E239">
        <v>0</v>
      </c>
      <c r="F239">
        <v>152794</v>
      </c>
      <c r="G239">
        <v>817</v>
      </c>
      <c r="H239">
        <v>3</v>
      </c>
    </row>
    <row r="240" spans="1:8" x14ac:dyDescent="0.25">
      <c r="A240" t="s">
        <v>217</v>
      </c>
      <c r="B240" t="s">
        <v>177</v>
      </c>
      <c r="C240">
        <v>1647</v>
      </c>
      <c r="D240">
        <v>1889</v>
      </c>
      <c r="E240">
        <v>4</v>
      </c>
      <c r="F240">
        <v>195208</v>
      </c>
      <c r="G240">
        <v>1828</v>
      </c>
      <c r="H240">
        <v>3</v>
      </c>
    </row>
    <row r="241" spans="1:8" x14ac:dyDescent="0.25">
      <c r="A241" t="s">
        <v>227</v>
      </c>
      <c r="B241" t="s">
        <v>177</v>
      </c>
      <c r="C241">
        <v>1399</v>
      </c>
      <c r="D241">
        <v>1707</v>
      </c>
      <c r="E241">
        <v>2565</v>
      </c>
      <c r="F241">
        <v>345785</v>
      </c>
      <c r="G241">
        <v>1354</v>
      </c>
      <c r="H241">
        <v>0</v>
      </c>
    </row>
    <row r="242" spans="1:8" x14ac:dyDescent="0.25">
      <c r="A242" t="s">
        <v>243</v>
      </c>
      <c r="B242" t="s">
        <v>177</v>
      </c>
      <c r="C242">
        <v>1162</v>
      </c>
      <c r="D242">
        <v>936</v>
      </c>
      <c r="E242">
        <v>0</v>
      </c>
      <c r="F242">
        <v>303095</v>
      </c>
      <c r="G242">
        <v>879</v>
      </c>
      <c r="H242">
        <v>0</v>
      </c>
    </row>
    <row r="243" spans="1:8" x14ac:dyDescent="0.25">
      <c r="A243" t="s">
        <v>226</v>
      </c>
      <c r="B243" t="s">
        <v>177</v>
      </c>
      <c r="C243">
        <v>1453</v>
      </c>
      <c r="D243">
        <v>113</v>
      </c>
      <c r="E243">
        <v>0</v>
      </c>
      <c r="F243">
        <v>148</v>
      </c>
      <c r="G243">
        <v>999</v>
      </c>
      <c r="H24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E3B1-E637-43B0-83C6-69E55FF1D124}">
  <dimension ref="A1:O21"/>
  <sheetViews>
    <sheetView tabSelected="1" topLeftCell="F1" workbookViewId="0">
      <selection activeCell="E27" sqref="E27"/>
    </sheetView>
  </sheetViews>
  <sheetFormatPr baseColWidth="10" defaultRowHeight="15" x14ac:dyDescent="0.25"/>
  <cols>
    <col min="1" max="1" width="12.28515625" customWidth="1"/>
    <col min="2" max="2" width="14.5703125" bestFit="1" customWidth="1"/>
    <col min="3" max="3" width="12.28515625" customWidth="1"/>
    <col min="4" max="4" width="7" bestFit="1" customWidth="1"/>
    <col min="5" max="5" width="19.28515625" bestFit="1" customWidth="1"/>
    <col min="6" max="6" width="16.7109375" bestFit="1" customWidth="1"/>
    <col min="7" max="7" width="10.5703125" bestFit="1" customWidth="1"/>
    <col min="8" max="8" width="17.7109375" bestFit="1" customWidth="1"/>
    <col min="9" max="9" width="13.28515625" bestFit="1" customWidth="1"/>
    <col min="10" max="10" width="14.42578125" style="1" customWidth="1"/>
    <col min="11" max="11" width="11.7109375" style="2" customWidth="1"/>
  </cols>
  <sheetData>
    <row r="1" spans="1:15" x14ac:dyDescent="0.25">
      <c r="A1" t="s">
        <v>0</v>
      </c>
      <c r="B1" t="s">
        <v>1</v>
      </c>
      <c r="C1" t="s">
        <v>253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254</v>
      </c>
      <c r="J1" s="1" t="s">
        <v>257</v>
      </c>
      <c r="K1" s="2" t="s">
        <v>258</v>
      </c>
    </row>
    <row r="2" spans="1:15" x14ac:dyDescent="0.25">
      <c r="A2" t="s">
        <v>16</v>
      </c>
      <c r="B2" t="s">
        <v>8</v>
      </c>
      <c r="C2" t="s">
        <v>255</v>
      </c>
      <c r="D2">
        <v>0.36620000000000003</v>
      </c>
      <c r="E2">
        <v>0.106</v>
      </c>
      <c r="F2">
        <v>0</v>
      </c>
      <c r="G2">
        <v>33.265599999999999</v>
      </c>
      <c r="H2">
        <v>0.14349999999999999</v>
      </c>
      <c r="I2">
        <v>0.40579999999999999</v>
      </c>
      <c r="J2" s="1">
        <f t="shared" ref="J2:J21" si="0">I2/SUM($I$2:$I$21)</f>
        <v>4.2869669022491265E-2</v>
      </c>
      <c r="K2" s="2">
        <f t="shared" ref="K2:K21" si="1">ROUND(J2*50000,2)</f>
        <v>2143.48</v>
      </c>
    </row>
    <row r="3" spans="1:15" x14ac:dyDescent="0.25">
      <c r="A3" t="s">
        <v>25</v>
      </c>
      <c r="B3" t="s">
        <v>8</v>
      </c>
      <c r="C3" t="s">
        <v>255</v>
      </c>
      <c r="D3">
        <v>0.24429999999999999</v>
      </c>
      <c r="E3">
        <v>0.17530000000000001</v>
      </c>
      <c r="F3">
        <v>4.0399999999999998E-2</v>
      </c>
      <c r="G3">
        <v>26.5867</v>
      </c>
      <c r="H3">
        <v>0.25480000000000003</v>
      </c>
      <c r="I3">
        <v>0.39340000000000003</v>
      </c>
      <c r="J3" s="1">
        <f t="shared" si="0"/>
        <v>4.1559703778827173E-2</v>
      </c>
      <c r="K3" s="2">
        <f t="shared" si="1"/>
        <v>2077.9899999999998</v>
      </c>
      <c r="M3" s="6" t="s">
        <v>264</v>
      </c>
      <c r="N3" s="7"/>
      <c r="O3" s="8"/>
    </row>
    <row r="4" spans="1:15" x14ac:dyDescent="0.25">
      <c r="A4" t="s">
        <v>24</v>
      </c>
      <c r="B4" t="s">
        <v>8</v>
      </c>
      <c r="C4" t="s">
        <v>255</v>
      </c>
      <c r="D4">
        <v>0.25369999999999998</v>
      </c>
      <c r="E4">
        <v>0.1239</v>
      </c>
      <c r="F4">
        <v>0</v>
      </c>
      <c r="G4">
        <v>27.641999999999999</v>
      </c>
      <c r="H4">
        <v>0.1096</v>
      </c>
      <c r="I4">
        <v>0.3705</v>
      </c>
      <c r="J4" s="1">
        <f t="shared" si="0"/>
        <v>3.9140493772382982E-2</v>
      </c>
      <c r="K4" s="2">
        <f t="shared" si="1"/>
        <v>1957.02</v>
      </c>
      <c r="M4" s="9" t="s">
        <v>260</v>
      </c>
      <c r="N4" s="10"/>
      <c r="O4" s="11">
        <f>SUM($K$2:$K$21)</f>
        <v>50000.000000000007</v>
      </c>
    </row>
    <row r="5" spans="1:15" x14ac:dyDescent="0.25">
      <c r="A5" t="s">
        <v>37</v>
      </c>
      <c r="B5" t="s">
        <v>8</v>
      </c>
      <c r="C5" t="s">
        <v>255</v>
      </c>
      <c r="D5">
        <v>0.14940000000000001</v>
      </c>
      <c r="E5">
        <v>0.13830000000000001</v>
      </c>
      <c r="F5">
        <v>0.45850000000000002</v>
      </c>
      <c r="G5">
        <v>35.043500000000002</v>
      </c>
      <c r="H5">
        <v>0.39810000000000001</v>
      </c>
      <c r="I5">
        <v>0.308</v>
      </c>
      <c r="J5" s="1">
        <f t="shared" si="0"/>
        <v>3.2537846374882481E-2</v>
      </c>
      <c r="K5" s="2">
        <f t="shared" si="1"/>
        <v>1626.89</v>
      </c>
      <c r="M5" s="12" t="s">
        <v>259</v>
      </c>
      <c r="N5" s="13"/>
      <c r="O5" s="14">
        <f>COUNT($K$2:$K$21)</f>
        <v>20</v>
      </c>
    </row>
    <row r="6" spans="1:15" x14ac:dyDescent="0.25">
      <c r="A6" t="s">
        <v>39</v>
      </c>
      <c r="B6" t="s">
        <v>8</v>
      </c>
      <c r="C6" t="s">
        <v>255</v>
      </c>
      <c r="D6">
        <v>0.1348</v>
      </c>
      <c r="E6">
        <v>9.7600000000000006E-2</v>
      </c>
      <c r="F6">
        <v>0.84840000000000004</v>
      </c>
      <c r="G6">
        <v>38.298900000000003</v>
      </c>
      <c r="H6">
        <v>0.60570000000000002</v>
      </c>
      <c r="I6">
        <v>0.25690000000000002</v>
      </c>
      <c r="J6" s="1">
        <f t="shared" si="0"/>
        <v>2.7139521862686072E-2</v>
      </c>
      <c r="K6" s="2">
        <f t="shared" si="1"/>
        <v>1356.98</v>
      </c>
      <c r="M6" s="9" t="s">
        <v>261</v>
      </c>
      <c r="N6" s="10"/>
      <c r="O6" s="15">
        <f>ROUND(SUMPRODUCT($J$2:$J$21,$D$2:$D$21),4)</f>
        <v>0.27489999999999998</v>
      </c>
    </row>
    <row r="7" spans="1:15" x14ac:dyDescent="0.25">
      <c r="A7" t="s">
        <v>53</v>
      </c>
      <c r="B7" t="s">
        <v>50</v>
      </c>
      <c r="C7" t="s">
        <v>256</v>
      </c>
      <c r="D7">
        <v>0.28310000000000002</v>
      </c>
      <c r="E7">
        <v>0.58220000000000005</v>
      </c>
      <c r="F7">
        <v>0.63260000000000005</v>
      </c>
      <c r="G7">
        <v>24.929200000000002</v>
      </c>
      <c r="H7">
        <v>0.38200000000000001</v>
      </c>
      <c r="I7">
        <v>0.53149999999999997</v>
      </c>
      <c r="J7" s="1">
        <f t="shared" si="0"/>
        <v>5.6148913468344275E-2</v>
      </c>
      <c r="K7" s="2">
        <f t="shared" si="1"/>
        <v>2807.45</v>
      </c>
      <c r="M7" s="12" t="s">
        <v>262</v>
      </c>
      <c r="N7" s="13"/>
      <c r="O7" s="14">
        <f>ROUND(SUMPRODUCT($J$2:$J$21,$E$2:$E$21),4)</f>
        <v>0.37340000000000001</v>
      </c>
    </row>
    <row r="8" spans="1:15" x14ac:dyDescent="0.25">
      <c r="A8" t="s">
        <v>117</v>
      </c>
      <c r="B8" t="s">
        <v>50</v>
      </c>
      <c r="C8" t="s">
        <v>256</v>
      </c>
      <c r="D8">
        <v>5.91E-2</v>
      </c>
      <c r="E8">
        <v>0.22109999999999999</v>
      </c>
      <c r="F8">
        <v>0</v>
      </c>
      <c r="G8">
        <v>30.882400000000001</v>
      </c>
      <c r="H8">
        <v>2.6924000000000001</v>
      </c>
      <c r="I8">
        <v>0.48559999999999998</v>
      </c>
      <c r="J8" s="1">
        <f t="shared" si="0"/>
        <v>5.1299929219619907E-2</v>
      </c>
      <c r="K8" s="2">
        <f t="shared" si="1"/>
        <v>2565</v>
      </c>
      <c r="M8" s="3" t="s">
        <v>263</v>
      </c>
      <c r="N8" s="4"/>
      <c r="O8" s="5">
        <f>ROUND(SUMPRODUCT($J$2:$J$21,$F$2:$F$21),4)</f>
        <v>0.25640000000000002</v>
      </c>
    </row>
    <row r="9" spans="1:15" x14ac:dyDescent="0.25">
      <c r="A9" t="s">
        <v>99</v>
      </c>
      <c r="B9" t="s">
        <v>50</v>
      </c>
      <c r="C9" t="s">
        <v>256</v>
      </c>
      <c r="D9">
        <v>0.1077</v>
      </c>
      <c r="E9">
        <v>0.36880000000000002</v>
      </c>
      <c r="F9">
        <v>0.30640000000000001</v>
      </c>
      <c r="G9">
        <v>14.3931</v>
      </c>
      <c r="H9">
        <v>1.5528</v>
      </c>
      <c r="I9">
        <v>0.47299999999999998</v>
      </c>
      <c r="J9" s="1">
        <f t="shared" si="0"/>
        <v>4.9968835504283805E-2</v>
      </c>
      <c r="K9" s="2">
        <f t="shared" si="1"/>
        <v>2498.44</v>
      </c>
    </row>
    <row r="10" spans="1:15" x14ac:dyDescent="0.25">
      <c r="A10" t="s">
        <v>97</v>
      </c>
      <c r="B10" t="s">
        <v>50</v>
      </c>
      <c r="C10" t="s">
        <v>256</v>
      </c>
      <c r="D10">
        <v>0.11070000000000001</v>
      </c>
      <c r="E10">
        <v>0.39090000000000003</v>
      </c>
      <c r="F10">
        <v>0.3846</v>
      </c>
      <c r="G10">
        <v>16.288799999999998</v>
      </c>
      <c r="H10">
        <v>1.3832</v>
      </c>
      <c r="I10">
        <v>0.46629999999999999</v>
      </c>
      <c r="J10" s="1">
        <f t="shared" si="0"/>
        <v>4.9261031703271757E-2</v>
      </c>
      <c r="K10" s="2">
        <f t="shared" si="1"/>
        <v>2463.0500000000002</v>
      </c>
    </row>
    <row r="11" spans="1:15" x14ac:dyDescent="0.25">
      <c r="A11" t="s">
        <v>102</v>
      </c>
      <c r="B11" t="s">
        <v>50</v>
      </c>
      <c r="C11" t="s">
        <v>255</v>
      </c>
      <c r="D11">
        <v>0.10249999999999999</v>
      </c>
      <c r="E11">
        <v>0.20730000000000001</v>
      </c>
      <c r="F11">
        <v>0.13139999999999999</v>
      </c>
      <c r="G11">
        <v>56.526299999999999</v>
      </c>
      <c r="H11">
        <v>1.2546999999999999</v>
      </c>
      <c r="I11">
        <v>0.40189999999999998</v>
      </c>
      <c r="J11" s="1">
        <f t="shared" si="0"/>
        <v>4.2457663824887235E-2</v>
      </c>
      <c r="K11" s="2">
        <f t="shared" si="1"/>
        <v>2122.88</v>
      </c>
    </row>
    <row r="12" spans="1:15" x14ac:dyDescent="0.25">
      <c r="A12" t="s">
        <v>122</v>
      </c>
      <c r="B12" t="s">
        <v>123</v>
      </c>
      <c r="C12" t="s">
        <v>256</v>
      </c>
      <c r="D12">
        <v>0.78449999999999998</v>
      </c>
      <c r="E12">
        <v>0.48620000000000002</v>
      </c>
      <c r="F12">
        <v>0.80410000000000004</v>
      </c>
      <c r="G12">
        <v>11.8566</v>
      </c>
      <c r="H12">
        <v>1.2219</v>
      </c>
      <c r="I12">
        <v>0.70289999999999997</v>
      </c>
      <c r="J12" s="1">
        <f t="shared" si="0"/>
        <v>7.4256013691249664E-2</v>
      </c>
      <c r="K12" s="2">
        <f t="shared" si="1"/>
        <v>3712.8</v>
      </c>
    </row>
    <row r="13" spans="1:15" x14ac:dyDescent="0.25">
      <c r="A13" t="s">
        <v>136</v>
      </c>
      <c r="B13" t="s">
        <v>123</v>
      </c>
      <c r="C13" t="s">
        <v>256</v>
      </c>
      <c r="D13">
        <v>0.23169999999999999</v>
      </c>
      <c r="E13">
        <v>0.72140000000000004</v>
      </c>
      <c r="F13">
        <v>0</v>
      </c>
      <c r="G13">
        <v>21.047899999999998</v>
      </c>
      <c r="H13">
        <v>0.4894</v>
      </c>
      <c r="I13">
        <v>0.64359999999999995</v>
      </c>
      <c r="J13" s="1">
        <f t="shared" si="0"/>
        <v>6.7991421840501179E-2</v>
      </c>
      <c r="K13" s="2">
        <f t="shared" si="1"/>
        <v>3399.57</v>
      </c>
    </row>
    <row r="14" spans="1:15" x14ac:dyDescent="0.25">
      <c r="A14" t="s">
        <v>126</v>
      </c>
      <c r="B14" t="s">
        <v>123</v>
      </c>
      <c r="C14" t="s">
        <v>256</v>
      </c>
      <c r="D14">
        <v>0.35489999999999999</v>
      </c>
      <c r="E14">
        <v>0.47460000000000002</v>
      </c>
      <c r="F14">
        <v>1.7600000000000001E-2</v>
      </c>
      <c r="G14">
        <v>13.6364</v>
      </c>
      <c r="H14">
        <v>0.13159999999999999</v>
      </c>
      <c r="I14">
        <v>0.55959999999999999</v>
      </c>
      <c r="J14" s="1">
        <f t="shared" si="0"/>
        <v>5.9117463738260503E-2</v>
      </c>
      <c r="K14" s="2">
        <f t="shared" si="1"/>
        <v>2955.87</v>
      </c>
    </row>
    <row r="15" spans="1:15" x14ac:dyDescent="0.25">
      <c r="A15" t="s">
        <v>141</v>
      </c>
      <c r="B15" t="s">
        <v>123</v>
      </c>
      <c r="C15" t="s">
        <v>256</v>
      </c>
      <c r="D15">
        <v>0.20569999999999999</v>
      </c>
      <c r="E15">
        <v>0.51359999999999995</v>
      </c>
      <c r="F15">
        <v>0.76219999999999999</v>
      </c>
      <c r="G15">
        <v>21.605399999999999</v>
      </c>
      <c r="H15">
        <v>0.86060000000000003</v>
      </c>
      <c r="I15">
        <v>0.4869</v>
      </c>
      <c r="J15" s="1">
        <f t="shared" si="0"/>
        <v>5.1437264285487921E-2</v>
      </c>
      <c r="K15" s="2">
        <f t="shared" si="1"/>
        <v>2571.86</v>
      </c>
    </row>
    <row r="16" spans="1:15" x14ac:dyDescent="0.25">
      <c r="A16" t="s">
        <v>139</v>
      </c>
      <c r="B16" t="s">
        <v>123</v>
      </c>
      <c r="C16" t="s">
        <v>256</v>
      </c>
      <c r="D16">
        <v>0.2152</v>
      </c>
      <c r="E16">
        <v>0.3629</v>
      </c>
      <c r="F16">
        <v>0</v>
      </c>
      <c r="G16">
        <v>15.6092</v>
      </c>
      <c r="H16">
        <v>0.40639999999999998</v>
      </c>
      <c r="I16">
        <v>0.47689999999999999</v>
      </c>
      <c r="J16" s="1">
        <f t="shared" si="0"/>
        <v>5.0380840701887843E-2</v>
      </c>
      <c r="K16" s="2">
        <f t="shared" si="1"/>
        <v>2519.04</v>
      </c>
    </row>
    <row r="17" spans="1:11" x14ac:dyDescent="0.25">
      <c r="A17" t="s">
        <v>183</v>
      </c>
      <c r="B17" t="s">
        <v>177</v>
      </c>
      <c r="C17" t="s">
        <v>256</v>
      </c>
      <c r="D17">
        <v>0.31490000000000001</v>
      </c>
      <c r="E17">
        <v>0.61140000000000005</v>
      </c>
      <c r="F17">
        <v>0</v>
      </c>
      <c r="G17">
        <v>11.071199999999999</v>
      </c>
      <c r="H17">
        <v>0.65159999999999996</v>
      </c>
      <c r="I17">
        <v>0.63529999999999998</v>
      </c>
      <c r="J17" s="1">
        <f t="shared" si="0"/>
        <v>6.7114590266113119E-2</v>
      </c>
      <c r="K17" s="2">
        <f t="shared" si="1"/>
        <v>3355.73</v>
      </c>
    </row>
    <row r="18" spans="1:11" x14ac:dyDescent="0.25">
      <c r="A18" t="s">
        <v>200</v>
      </c>
      <c r="B18" t="s">
        <v>177</v>
      </c>
      <c r="C18" t="s">
        <v>256</v>
      </c>
      <c r="D18">
        <v>0.20430000000000001</v>
      </c>
      <c r="E18">
        <v>0.35099999999999998</v>
      </c>
      <c r="F18">
        <v>0</v>
      </c>
      <c r="G18">
        <v>32.128700000000002</v>
      </c>
      <c r="H18">
        <v>0.71699999999999997</v>
      </c>
      <c r="I18">
        <v>0.48509999999999998</v>
      </c>
      <c r="J18" s="1">
        <f t="shared" si="0"/>
        <v>5.1247108040439901E-2</v>
      </c>
      <c r="K18" s="2">
        <f t="shared" si="1"/>
        <v>2562.36</v>
      </c>
    </row>
    <row r="19" spans="1:11" x14ac:dyDescent="0.25">
      <c r="A19" t="s">
        <v>202</v>
      </c>
      <c r="B19" t="s">
        <v>177</v>
      </c>
      <c r="C19" t="s">
        <v>256</v>
      </c>
      <c r="D19">
        <v>0.2034</v>
      </c>
      <c r="E19">
        <v>0.40610000000000002</v>
      </c>
      <c r="F19">
        <v>8.7599999999999997E-2</v>
      </c>
      <c r="G19">
        <v>16.823899999999998</v>
      </c>
      <c r="H19">
        <v>0.24729999999999999</v>
      </c>
      <c r="I19">
        <v>0.47360000000000002</v>
      </c>
      <c r="J19" s="1">
        <f t="shared" si="0"/>
        <v>5.0032220919299819E-2</v>
      </c>
      <c r="K19" s="2">
        <f t="shared" si="1"/>
        <v>2501.61</v>
      </c>
    </row>
    <row r="20" spans="1:11" x14ac:dyDescent="0.25">
      <c r="A20" t="s">
        <v>176</v>
      </c>
      <c r="B20" t="s">
        <v>177</v>
      </c>
      <c r="C20" t="s">
        <v>255</v>
      </c>
      <c r="D20">
        <v>0.45050000000000001</v>
      </c>
      <c r="E20">
        <v>0.1666</v>
      </c>
      <c r="F20">
        <v>0</v>
      </c>
      <c r="G20">
        <v>37.357799999999997</v>
      </c>
      <c r="H20">
        <v>0.18720000000000001</v>
      </c>
      <c r="I20">
        <v>0.46550000000000002</v>
      </c>
      <c r="J20" s="1">
        <f t="shared" si="0"/>
        <v>4.9176517816583755E-2</v>
      </c>
      <c r="K20" s="2">
        <f t="shared" si="1"/>
        <v>2458.83</v>
      </c>
    </row>
    <row r="21" spans="1:11" x14ac:dyDescent="0.25">
      <c r="A21" t="s">
        <v>181</v>
      </c>
      <c r="B21" t="s">
        <v>177</v>
      </c>
      <c r="C21" t="s">
        <v>256</v>
      </c>
      <c r="D21">
        <v>0.34449999999999997</v>
      </c>
      <c r="E21">
        <v>0.28939999999999999</v>
      </c>
      <c r="F21">
        <v>0.79220000000000002</v>
      </c>
      <c r="G21">
        <v>20.985700000000001</v>
      </c>
      <c r="H21">
        <v>0.97560000000000002</v>
      </c>
      <c r="I21">
        <v>0.44359999999999999</v>
      </c>
      <c r="J21" s="1">
        <f t="shared" si="0"/>
        <v>4.6862950168499569E-2</v>
      </c>
      <c r="K21" s="2">
        <f t="shared" si="1"/>
        <v>2343.15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CA3D9-6C96-45D0-B526-1DDAC9976DC7}">
  <dimension ref="A1:H243"/>
  <sheetViews>
    <sheetView workbookViewId="0">
      <selection activeCell="H2" sqref="H2"/>
    </sheetView>
  </sheetViews>
  <sheetFormatPr baseColWidth="10" defaultRowHeight="15" x14ac:dyDescent="0.25"/>
  <cols>
    <col min="1" max="1" width="8.42578125" bestFit="1" customWidth="1"/>
    <col min="4" max="4" width="18.5703125" customWidth="1"/>
    <col min="5" max="5" width="15.7109375" customWidth="1"/>
    <col min="7" max="7" width="16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253</v>
      </c>
    </row>
    <row r="2" spans="1:8" x14ac:dyDescent="0.25">
      <c r="A2" t="s">
        <v>7</v>
      </c>
      <c r="B2" t="s">
        <v>8</v>
      </c>
      <c r="C2">
        <v>0.86899999999999999</v>
      </c>
      <c r="D2">
        <v>7.7799999999999994E-2</v>
      </c>
      <c r="E2">
        <v>1.8050999999999999</v>
      </c>
      <c r="F2">
        <v>29.226700000000001</v>
      </c>
      <c r="G2">
        <v>9.2700000000000005E-2</v>
      </c>
      <c r="H2">
        <f>_xlfn.XLOOKUP(A2,candidatas_con_clusters__3[ticker],candidatas_con_clusters__3[cluster],"No encontrado")</f>
        <v>1</v>
      </c>
    </row>
    <row r="3" spans="1:8" x14ac:dyDescent="0.25">
      <c r="A3" t="s">
        <v>9</v>
      </c>
      <c r="B3" t="s">
        <v>8</v>
      </c>
      <c r="C3">
        <v>0.61460000000000004</v>
      </c>
      <c r="D3">
        <v>0.25080000000000002</v>
      </c>
      <c r="E3">
        <v>1.0515000000000001</v>
      </c>
      <c r="F3">
        <v>9.3635999999999999</v>
      </c>
      <c r="G3">
        <v>0.51359999999999995</v>
      </c>
      <c r="H3">
        <f>_xlfn.XLOOKUP(A3,candidatas_con_clusters__3[ticker],candidatas_con_clusters__3[cluster],"No encontrado")</f>
        <v>1</v>
      </c>
    </row>
    <row r="4" spans="1:8" x14ac:dyDescent="0.25">
      <c r="A4" t="s">
        <v>10</v>
      </c>
      <c r="B4" t="s">
        <v>8</v>
      </c>
      <c r="C4">
        <v>0.55400000000000005</v>
      </c>
      <c r="D4">
        <v>9.9900000000000003E-2</v>
      </c>
      <c r="E4">
        <v>0.86339999999999995</v>
      </c>
      <c r="F4">
        <v>21.954799999999999</v>
      </c>
      <c r="G4">
        <v>2.41E-2</v>
      </c>
      <c r="H4">
        <f>_xlfn.XLOOKUP(A4,candidatas_con_clusters__3[ticker],candidatas_con_clusters__3[cluster],"No encontrado")</f>
        <v>1</v>
      </c>
    </row>
    <row r="5" spans="1:8" x14ac:dyDescent="0.25">
      <c r="A5" t="s">
        <v>11</v>
      </c>
      <c r="B5" t="s">
        <v>8</v>
      </c>
      <c r="C5">
        <v>0.52510000000000001</v>
      </c>
      <c r="D5">
        <v>7.17E-2</v>
      </c>
      <c r="E5">
        <v>1.5083</v>
      </c>
      <c r="F5">
        <v>6.3305999999999996</v>
      </c>
      <c r="G5">
        <v>8.3699999999999997E-2</v>
      </c>
      <c r="H5">
        <f>_xlfn.XLOOKUP(A5,candidatas_con_clusters__3[ticker],candidatas_con_clusters__3[cluster],"No encontrado")</f>
        <v>1</v>
      </c>
    </row>
    <row r="6" spans="1:8" x14ac:dyDescent="0.25">
      <c r="A6" t="s">
        <v>12</v>
      </c>
      <c r="B6" t="s">
        <v>8</v>
      </c>
      <c r="C6">
        <v>0.502</v>
      </c>
      <c r="D6">
        <v>9.1499999999999998E-2</v>
      </c>
      <c r="E6">
        <v>0.84740000000000004</v>
      </c>
      <c r="F6">
        <v>9.8866999999999994</v>
      </c>
      <c r="G6">
        <v>3.5099999999999999E-2</v>
      </c>
      <c r="H6">
        <f>_xlfn.XLOOKUP(A6,candidatas_con_clusters__3[ticker],candidatas_con_clusters__3[cluster],"No encontrado")</f>
        <v>1</v>
      </c>
    </row>
    <row r="7" spans="1:8" x14ac:dyDescent="0.25">
      <c r="A7" t="s">
        <v>13</v>
      </c>
      <c r="B7" t="s">
        <v>8</v>
      </c>
      <c r="C7">
        <v>0.49630000000000002</v>
      </c>
      <c r="D7">
        <v>0.3644</v>
      </c>
      <c r="E7">
        <v>1.3973</v>
      </c>
      <c r="F7">
        <v>22.563800000000001</v>
      </c>
      <c r="G7">
        <v>0.23730000000000001</v>
      </c>
      <c r="H7">
        <f>_xlfn.XLOOKUP(A7,candidatas_con_clusters__3[ticker],candidatas_con_clusters__3[cluster],"No encontrado")</f>
        <v>1</v>
      </c>
    </row>
    <row r="8" spans="1:8" x14ac:dyDescent="0.25">
      <c r="A8" t="s">
        <v>14</v>
      </c>
      <c r="B8" t="s">
        <v>8</v>
      </c>
      <c r="C8">
        <v>0.49009999999999998</v>
      </c>
      <c r="D8">
        <v>0.21609999999999999</v>
      </c>
      <c r="E8">
        <v>0.82609999999999995</v>
      </c>
      <c r="F8">
        <v>9.0251999999999999</v>
      </c>
      <c r="G8">
        <v>4.3099999999999999E-2</v>
      </c>
      <c r="H8">
        <f>_xlfn.XLOOKUP(A8,candidatas_con_clusters__3[ticker],candidatas_con_clusters__3[cluster],"No encontrado")</f>
        <v>1</v>
      </c>
    </row>
    <row r="9" spans="1:8" x14ac:dyDescent="0.25">
      <c r="A9" t="s">
        <v>15</v>
      </c>
      <c r="B9" t="s">
        <v>8</v>
      </c>
      <c r="C9">
        <v>0.40579999999999999</v>
      </c>
      <c r="D9">
        <v>0.1421</v>
      </c>
      <c r="E9">
        <v>0.77490000000000003</v>
      </c>
      <c r="F9">
        <v>15.2072</v>
      </c>
      <c r="G9">
        <v>3.6900000000000002E-2</v>
      </c>
      <c r="H9">
        <f>_xlfn.XLOOKUP(A9,candidatas_con_clusters__3[ticker],candidatas_con_clusters__3[cluster],"No encontrado")</f>
        <v>1</v>
      </c>
    </row>
    <row r="10" spans="1:8" x14ac:dyDescent="0.25">
      <c r="A10" t="s">
        <v>16</v>
      </c>
      <c r="B10" t="s">
        <v>8</v>
      </c>
      <c r="C10">
        <v>0.36620000000000003</v>
      </c>
      <c r="D10">
        <v>0.106</v>
      </c>
      <c r="E10">
        <v>0</v>
      </c>
      <c r="F10">
        <v>33.265599999999999</v>
      </c>
      <c r="G10">
        <v>0.14349999999999999</v>
      </c>
      <c r="H10">
        <f>_xlfn.XLOOKUP(A10,candidatas_con_clusters__3[ticker],candidatas_con_clusters__3[cluster],"No encontrado")</f>
        <v>0</v>
      </c>
    </row>
    <row r="11" spans="1:8" x14ac:dyDescent="0.25">
      <c r="A11" t="s">
        <v>17</v>
      </c>
      <c r="B11" t="s">
        <v>8</v>
      </c>
      <c r="C11">
        <v>0.33339999999999997</v>
      </c>
      <c r="D11">
        <v>0.1699</v>
      </c>
      <c r="E11">
        <v>0.95840000000000003</v>
      </c>
      <c r="F11">
        <v>13.462</v>
      </c>
      <c r="G11">
        <v>0.13539999999999999</v>
      </c>
      <c r="H11">
        <f>_xlfn.XLOOKUP(A11,candidatas_con_clusters__3[ticker],candidatas_con_clusters__3[cluster],"No encontrado")</f>
        <v>1</v>
      </c>
    </row>
    <row r="12" spans="1:8" x14ac:dyDescent="0.25">
      <c r="A12" t="s">
        <v>18</v>
      </c>
      <c r="B12" t="s">
        <v>8</v>
      </c>
      <c r="C12">
        <v>0.30149999999999999</v>
      </c>
      <c r="D12">
        <v>9.5699999999999993E-2</v>
      </c>
      <c r="E12">
        <v>0.98240000000000005</v>
      </c>
      <c r="F12">
        <v>11.524699999999999</v>
      </c>
      <c r="G12">
        <v>5.1799999999999999E-2</v>
      </c>
      <c r="H12">
        <f>_xlfn.XLOOKUP(A12,candidatas_con_clusters__3[ticker],candidatas_con_clusters__3[cluster],"No encontrado")</f>
        <v>1</v>
      </c>
    </row>
    <row r="13" spans="1:8" x14ac:dyDescent="0.25">
      <c r="A13" t="s">
        <v>19</v>
      </c>
      <c r="B13" t="s">
        <v>8</v>
      </c>
      <c r="C13">
        <v>0.30099999999999999</v>
      </c>
      <c r="D13">
        <v>0.1386</v>
      </c>
      <c r="E13">
        <v>1.226</v>
      </c>
      <c r="F13">
        <v>11.3673</v>
      </c>
      <c r="G13">
        <v>0.60580000000000001</v>
      </c>
      <c r="H13">
        <f>_xlfn.XLOOKUP(A13,candidatas_con_clusters__3[ticker],candidatas_con_clusters__3[cluster],"No encontrado")</f>
        <v>1</v>
      </c>
    </row>
    <row r="14" spans="1:8" x14ac:dyDescent="0.25">
      <c r="A14" t="s">
        <v>20</v>
      </c>
      <c r="B14" t="s">
        <v>8</v>
      </c>
      <c r="C14">
        <v>0.27300000000000002</v>
      </c>
      <c r="D14">
        <v>0.13420000000000001</v>
      </c>
      <c r="E14">
        <v>0.62050000000000005</v>
      </c>
      <c r="F14">
        <v>19.913599999999999</v>
      </c>
      <c r="G14">
        <v>4.5900000000000003E-2</v>
      </c>
      <c r="H14">
        <f>_xlfn.XLOOKUP(A14,candidatas_con_clusters__3[ticker],candidatas_con_clusters__3[cluster],"No encontrado")</f>
        <v>3</v>
      </c>
    </row>
    <row r="15" spans="1:8" x14ac:dyDescent="0.25">
      <c r="A15" t="s">
        <v>21</v>
      </c>
      <c r="B15" t="s">
        <v>8</v>
      </c>
      <c r="C15">
        <v>0.25819999999999999</v>
      </c>
      <c r="D15">
        <v>0.1142</v>
      </c>
      <c r="E15">
        <v>0.57850000000000001</v>
      </c>
      <c r="F15">
        <v>24.0381</v>
      </c>
      <c r="G15">
        <v>3.9199999999999999E-2</v>
      </c>
      <c r="H15">
        <f>_xlfn.XLOOKUP(A15,candidatas_con_clusters__3[ticker],candidatas_con_clusters__3[cluster],"No encontrado")</f>
        <v>3</v>
      </c>
    </row>
    <row r="16" spans="1:8" x14ac:dyDescent="0.25">
      <c r="A16" t="s">
        <v>22</v>
      </c>
      <c r="B16" t="s">
        <v>8</v>
      </c>
      <c r="C16">
        <v>0.25779999999999997</v>
      </c>
      <c r="D16">
        <v>9.6299999999999997E-2</v>
      </c>
      <c r="E16">
        <v>1.5699000000000001</v>
      </c>
      <c r="F16">
        <v>6.7526999999999999</v>
      </c>
      <c r="G16">
        <v>7.9699999999999993E-2</v>
      </c>
      <c r="H16">
        <f>_xlfn.XLOOKUP(A16,candidatas_con_clusters__3[ticker],candidatas_con_clusters__3[cluster],"No encontrado")</f>
        <v>1</v>
      </c>
    </row>
    <row r="17" spans="1:8" x14ac:dyDescent="0.25">
      <c r="A17" t="s">
        <v>23</v>
      </c>
      <c r="B17" t="s">
        <v>8</v>
      </c>
      <c r="C17">
        <v>0.2545</v>
      </c>
      <c r="D17">
        <v>0.14099999999999999</v>
      </c>
      <c r="E17">
        <v>0.99709999999999999</v>
      </c>
      <c r="F17">
        <v>9.5678000000000001</v>
      </c>
      <c r="G17">
        <v>6.59E-2</v>
      </c>
      <c r="H17">
        <f>_xlfn.XLOOKUP(A17,candidatas_con_clusters__3[ticker],candidatas_con_clusters__3[cluster],"No encontrado")</f>
        <v>1</v>
      </c>
    </row>
    <row r="18" spans="1:8" x14ac:dyDescent="0.25">
      <c r="A18" t="s">
        <v>24</v>
      </c>
      <c r="B18" t="s">
        <v>8</v>
      </c>
      <c r="C18">
        <v>0.25369999999999998</v>
      </c>
      <c r="D18">
        <v>0.1239</v>
      </c>
      <c r="E18">
        <v>0</v>
      </c>
      <c r="F18">
        <v>27.641999999999999</v>
      </c>
      <c r="G18">
        <v>0.1096</v>
      </c>
      <c r="H18">
        <f>_xlfn.XLOOKUP(A18,candidatas_con_clusters__3[ticker],candidatas_con_clusters__3[cluster],"No encontrado")</f>
        <v>0</v>
      </c>
    </row>
    <row r="19" spans="1:8" x14ac:dyDescent="0.25">
      <c r="A19" t="s">
        <v>25</v>
      </c>
      <c r="B19" t="s">
        <v>8</v>
      </c>
      <c r="C19">
        <v>0.24429999999999999</v>
      </c>
      <c r="D19">
        <v>0.17530000000000001</v>
      </c>
      <c r="E19">
        <v>4.0399999999999998E-2</v>
      </c>
      <c r="F19">
        <v>26.5867</v>
      </c>
      <c r="G19">
        <v>0.25480000000000003</v>
      </c>
      <c r="H19">
        <f>_xlfn.XLOOKUP(A19,candidatas_con_clusters__3[ticker],candidatas_con_clusters__3[cluster],"No encontrado")</f>
        <v>0</v>
      </c>
    </row>
    <row r="20" spans="1:8" x14ac:dyDescent="0.25">
      <c r="A20" t="s">
        <v>26</v>
      </c>
      <c r="B20" t="s">
        <v>8</v>
      </c>
      <c r="C20">
        <v>0.23799999999999999</v>
      </c>
      <c r="D20">
        <v>8.1799999999999998E-2</v>
      </c>
      <c r="E20">
        <v>0.79039999999999999</v>
      </c>
      <c r="F20">
        <v>14.735900000000001</v>
      </c>
      <c r="G20">
        <v>7.4200000000000002E-2</v>
      </c>
      <c r="H20">
        <f>_xlfn.XLOOKUP(A20,candidatas_con_clusters__3[ticker],candidatas_con_clusters__3[cluster],"No encontrado")</f>
        <v>3</v>
      </c>
    </row>
    <row r="21" spans="1:8" x14ac:dyDescent="0.25">
      <c r="A21" t="s">
        <v>27</v>
      </c>
      <c r="B21" t="s">
        <v>8</v>
      </c>
      <c r="C21">
        <v>0.23569999999999999</v>
      </c>
      <c r="D21">
        <v>0.2135</v>
      </c>
      <c r="E21">
        <v>0.1565</v>
      </c>
      <c r="F21">
        <v>24.2424</v>
      </c>
      <c r="G21">
        <v>6.9800000000000001E-2</v>
      </c>
      <c r="H21">
        <f>_xlfn.XLOOKUP(A21,candidatas_con_clusters__3[ticker],candidatas_con_clusters__3[cluster],"No encontrado")</f>
        <v>3</v>
      </c>
    </row>
    <row r="22" spans="1:8" x14ac:dyDescent="0.25">
      <c r="A22" t="s">
        <v>28</v>
      </c>
      <c r="B22" t="s">
        <v>8</v>
      </c>
      <c r="C22">
        <v>0.23300000000000001</v>
      </c>
      <c r="D22">
        <v>0.1537</v>
      </c>
      <c r="E22">
        <v>0.26240000000000002</v>
      </c>
      <c r="F22">
        <v>12.002000000000001</v>
      </c>
      <c r="G22">
        <v>0.17449999999999999</v>
      </c>
      <c r="H22">
        <f>_xlfn.XLOOKUP(A22,candidatas_con_clusters__3[ticker],candidatas_con_clusters__3[cluster],"No encontrado")</f>
        <v>3</v>
      </c>
    </row>
    <row r="23" spans="1:8" x14ac:dyDescent="0.25">
      <c r="A23" t="s">
        <v>29</v>
      </c>
      <c r="B23" t="s">
        <v>8</v>
      </c>
      <c r="C23">
        <v>0.22140000000000001</v>
      </c>
      <c r="D23">
        <v>9.1700000000000004E-2</v>
      </c>
      <c r="E23">
        <v>0.96630000000000005</v>
      </c>
      <c r="F23">
        <v>14.878399999999999</v>
      </c>
      <c r="G23">
        <v>4.4900000000000002E-2</v>
      </c>
      <c r="H23">
        <f>_xlfn.XLOOKUP(A23,candidatas_con_clusters__3[ticker],candidatas_con_clusters__3[cluster],"No encontrado")</f>
        <v>1</v>
      </c>
    </row>
    <row r="24" spans="1:8" x14ac:dyDescent="0.25">
      <c r="A24" t="s">
        <v>30</v>
      </c>
      <c r="B24" t="s">
        <v>8</v>
      </c>
      <c r="C24">
        <v>0.2109</v>
      </c>
      <c r="D24">
        <v>6.6600000000000006E-2</v>
      </c>
      <c r="E24">
        <v>0.97740000000000005</v>
      </c>
      <c r="F24">
        <v>19.627300000000002</v>
      </c>
      <c r="G24">
        <v>7.2999999999999995E-2</v>
      </c>
      <c r="H24">
        <f>_xlfn.XLOOKUP(A24,candidatas_con_clusters__3[ticker],candidatas_con_clusters__3[cluster],"No encontrado")</f>
        <v>1</v>
      </c>
    </row>
    <row r="25" spans="1:8" x14ac:dyDescent="0.25">
      <c r="A25" t="s">
        <v>31</v>
      </c>
      <c r="B25" t="s">
        <v>8</v>
      </c>
      <c r="C25">
        <v>0.2009</v>
      </c>
      <c r="D25">
        <v>9.4399999999999998E-2</v>
      </c>
      <c r="E25">
        <v>1.1201000000000001</v>
      </c>
      <c r="F25">
        <v>21.505299999999998</v>
      </c>
      <c r="G25">
        <v>4.0899999999999999E-2</v>
      </c>
      <c r="H25">
        <f>_xlfn.XLOOKUP(A25,candidatas_con_clusters__3[ticker],candidatas_con_clusters__3[cluster],"No encontrado")</f>
        <v>1</v>
      </c>
    </row>
    <row r="26" spans="1:8" x14ac:dyDescent="0.25">
      <c r="A26" t="s">
        <v>32</v>
      </c>
      <c r="B26" t="s">
        <v>8</v>
      </c>
      <c r="C26">
        <v>0.18340000000000001</v>
      </c>
      <c r="D26">
        <v>0.1129</v>
      </c>
      <c r="E26">
        <v>0.89549999999999996</v>
      </c>
      <c r="F26">
        <v>14.3878</v>
      </c>
      <c r="G26">
        <v>2.7799999999999998E-2</v>
      </c>
      <c r="H26">
        <f>_xlfn.XLOOKUP(A26,candidatas_con_clusters__3[ticker],candidatas_con_clusters__3[cluster],"No encontrado")</f>
        <v>3</v>
      </c>
    </row>
    <row r="27" spans="1:8" x14ac:dyDescent="0.25">
      <c r="A27" t="s">
        <v>33</v>
      </c>
      <c r="B27" t="s">
        <v>8</v>
      </c>
      <c r="C27">
        <v>0.17480000000000001</v>
      </c>
      <c r="D27">
        <v>0.2437</v>
      </c>
      <c r="E27">
        <v>0.44109999999999999</v>
      </c>
      <c r="F27">
        <v>26.326899999999998</v>
      </c>
      <c r="G27">
        <v>5.3900000000000003E-2</v>
      </c>
      <c r="H27">
        <f>_xlfn.XLOOKUP(A27,candidatas_con_clusters__3[ticker],candidatas_con_clusters__3[cluster],"No encontrado")</f>
        <v>3</v>
      </c>
    </row>
    <row r="28" spans="1:8" x14ac:dyDescent="0.25">
      <c r="A28" t="s">
        <v>34</v>
      </c>
      <c r="B28" t="s">
        <v>8</v>
      </c>
      <c r="C28">
        <v>0.16439999999999999</v>
      </c>
      <c r="D28">
        <v>8.4199999999999997E-2</v>
      </c>
      <c r="E28">
        <v>0.89510000000000001</v>
      </c>
      <c r="F28">
        <v>26.064800000000002</v>
      </c>
      <c r="G28">
        <v>7.7499999999999999E-2</v>
      </c>
      <c r="H28">
        <f>_xlfn.XLOOKUP(A28,candidatas_con_clusters__3[ticker],candidatas_con_clusters__3[cluster],"No encontrado")</f>
        <v>3</v>
      </c>
    </row>
    <row r="29" spans="1:8" x14ac:dyDescent="0.25">
      <c r="A29" t="s">
        <v>35</v>
      </c>
      <c r="B29" t="s">
        <v>8</v>
      </c>
      <c r="C29">
        <v>0.16300000000000001</v>
      </c>
      <c r="D29">
        <v>8.7499999999999994E-2</v>
      </c>
      <c r="E29">
        <v>0.27450000000000002</v>
      </c>
      <c r="F29">
        <v>12.376799999999999</v>
      </c>
      <c r="G29">
        <v>0.17349999999999999</v>
      </c>
      <c r="H29">
        <f>_xlfn.XLOOKUP(A29,candidatas_con_clusters__3[ticker],candidatas_con_clusters__3[cluster],"No encontrado")</f>
        <v>3</v>
      </c>
    </row>
    <row r="30" spans="1:8" x14ac:dyDescent="0.25">
      <c r="A30" t="s">
        <v>36</v>
      </c>
      <c r="B30" t="s">
        <v>8</v>
      </c>
      <c r="C30">
        <v>0.158</v>
      </c>
      <c r="D30">
        <v>7.3800000000000004E-2</v>
      </c>
      <c r="E30">
        <v>0.21179999999999999</v>
      </c>
      <c r="F30">
        <v>21.555</v>
      </c>
      <c r="G30">
        <v>0.05</v>
      </c>
      <c r="H30">
        <f>_xlfn.XLOOKUP(A30,candidatas_con_clusters__3[ticker],candidatas_con_clusters__3[cluster],"No encontrado")</f>
        <v>3</v>
      </c>
    </row>
    <row r="31" spans="1:8" x14ac:dyDescent="0.25">
      <c r="A31" t="s">
        <v>37</v>
      </c>
      <c r="B31" t="s">
        <v>8</v>
      </c>
      <c r="C31">
        <v>0.14940000000000001</v>
      </c>
      <c r="D31">
        <v>0.13830000000000001</v>
      </c>
      <c r="E31">
        <v>0.45850000000000002</v>
      </c>
      <c r="F31">
        <v>35.043500000000002</v>
      </c>
      <c r="G31">
        <v>0.39810000000000001</v>
      </c>
      <c r="H31">
        <f>_xlfn.XLOOKUP(A31,candidatas_con_clusters__3[ticker],candidatas_con_clusters__3[cluster],"No encontrado")</f>
        <v>0</v>
      </c>
    </row>
    <row r="32" spans="1:8" x14ac:dyDescent="0.25">
      <c r="A32" t="s">
        <v>38</v>
      </c>
      <c r="B32" t="s">
        <v>8</v>
      </c>
      <c r="C32">
        <v>0.14910000000000001</v>
      </c>
      <c r="D32">
        <v>7.7499999999999999E-2</v>
      </c>
      <c r="E32">
        <v>0.47060000000000002</v>
      </c>
      <c r="F32">
        <v>6.0480999999999998</v>
      </c>
      <c r="G32">
        <v>3.1899999999999998E-2</v>
      </c>
      <c r="H32">
        <f>_xlfn.XLOOKUP(A32,candidatas_con_clusters__3[ticker],candidatas_con_clusters__3[cluster],"No encontrado")</f>
        <v>3</v>
      </c>
    </row>
    <row r="33" spans="1:8" x14ac:dyDescent="0.25">
      <c r="A33" t="s">
        <v>39</v>
      </c>
      <c r="B33" t="s">
        <v>8</v>
      </c>
      <c r="C33">
        <v>0.1348</v>
      </c>
      <c r="D33">
        <v>9.7600000000000006E-2</v>
      </c>
      <c r="E33">
        <v>0.84840000000000004</v>
      </c>
      <c r="F33">
        <v>38.298900000000003</v>
      </c>
      <c r="G33">
        <v>0.60570000000000002</v>
      </c>
      <c r="H33">
        <f>_xlfn.XLOOKUP(A33,candidatas_con_clusters__3[ticker],candidatas_con_clusters__3[cluster],"No encontrado")</f>
        <v>0</v>
      </c>
    </row>
    <row r="34" spans="1:8" x14ac:dyDescent="0.25">
      <c r="A34" t="s">
        <v>40</v>
      </c>
      <c r="B34" t="s">
        <v>8</v>
      </c>
      <c r="C34">
        <v>0.1346</v>
      </c>
      <c r="D34">
        <v>9.5000000000000001E-2</v>
      </c>
      <c r="E34">
        <v>0.83069999999999999</v>
      </c>
      <c r="F34">
        <v>25.842400000000001</v>
      </c>
      <c r="G34">
        <v>2.5399999999999999E-2</v>
      </c>
      <c r="H34">
        <f>_xlfn.XLOOKUP(A34,candidatas_con_clusters__3[ticker],candidatas_con_clusters__3[cluster],"No encontrado")</f>
        <v>3</v>
      </c>
    </row>
    <row r="35" spans="1:8" x14ac:dyDescent="0.25">
      <c r="A35" t="s">
        <v>41</v>
      </c>
      <c r="B35" t="s">
        <v>8</v>
      </c>
      <c r="C35">
        <v>0.12859999999999999</v>
      </c>
      <c r="D35">
        <v>5.3800000000000001E-2</v>
      </c>
      <c r="E35">
        <v>0.6643</v>
      </c>
      <c r="F35">
        <v>22.968800000000002</v>
      </c>
      <c r="G35">
        <v>0.2261</v>
      </c>
      <c r="H35">
        <f>_xlfn.XLOOKUP(A35,candidatas_con_clusters__3[ticker],candidatas_con_clusters__3[cluster],"No encontrado")</f>
        <v>3</v>
      </c>
    </row>
    <row r="36" spans="1:8" x14ac:dyDescent="0.25">
      <c r="A36" t="s">
        <v>42</v>
      </c>
      <c r="B36" t="s">
        <v>8</v>
      </c>
      <c r="C36">
        <v>0.12520000000000001</v>
      </c>
      <c r="D36">
        <v>0.1293</v>
      </c>
      <c r="E36">
        <v>0.1077</v>
      </c>
      <c r="F36">
        <v>20.9971</v>
      </c>
      <c r="G36">
        <v>0.1202</v>
      </c>
      <c r="H36">
        <f>_xlfn.XLOOKUP(A36,candidatas_con_clusters__3[ticker],candidatas_con_clusters__3[cluster],"No encontrado")</f>
        <v>3</v>
      </c>
    </row>
    <row r="37" spans="1:8" x14ac:dyDescent="0.25">
      <c r="A37" t="s">
        <v>43</v>
      </c>
      <c r="B37" t="s">
        <v>8</v>
      </c>
      <c r="C37">
        <v>0.1144</v>
      </c>
      <c r="D37">
        <v>6.5500000000000003E-2</v>
      </c>
      <c r="E37">
        <v>0.23050000000000001</v>
      </c>
      <c r="F37">
        <v>18.626000000000001</v>
      </c>
      <c r="G37">
        <v>0.32779999999999998</v>
      </c>
      <c r="H37">
        <f>_xlfn.XLOOKUP(A37,candidatas_con_clusters__3[ticker],candidatas_con_clusters__3[cluster],"No encontrado")</f>
        <v>3</v>
      </c>
    </row>
    <row r="38" spans="1:8" x14ac:dyDescent="0.25">
      <c r="A38" t="s">
        <v>44</v>
      </c>
      <c r="B38" t="s">
        <v>8</v>
      </c>
      <c r="C38">
        <v>0.1071</v>
      </c>
      <c r="D38">
        <v>5.3600000000000002E-2</v>
      </c>
      <c r="E38">
        <v>1.6632</v>
      </c>
      <c r="F38">
        <v>25.914200000000001</v>
      </c>
      <c r="G38">
        <v>0.69420000000000004</v>
      </c>
      <c r="H38">
        <f>_xlfn.XLOOKUP(A38,candidatas_con_clusters__3[ticker],candidatas_con_clusters__3[cluster],"No encontrado")</f>
        <v>1</v>
      </c>
    </row>
    <row r="39" spans="1:8" x14ac:dyDescent="0.25">
      <c r="A39" t="s">
        <v>45</v>
      </c>
      <c r="B39" t="s">
        <v>8</v>
      </c>
      <c r="C39">
        <v>0.10589999999999999</v>
      </c>
      <c r="D39">
        <v>7.1199999999999999E-2</v>
      </c>
      <c r="E39">
        <v>0.21629999999999999</v>
      </c>
      <c r="F39">
        <v>12.214600000000001</v>
      </c>
      <c r="G39">
        <v>2.2200000000000001E-2</v>
      </c>
      <c r="H39">
        <f>_xlfn.XLOOKUP(A39,candidatas_con_clusters__3[ticker],candidatas_con_clusters__3[cluster],"No encontrado")</f>
        <v>3</v>
      </c>
    </row>
    <row r="40" spans="1:8" x14ac:dyDescent="0.25">
      <c r="A40" t="s">
        <v>46</v>
      </c>
      <c r="B40" t="s">
        <v>8</v>
      </c>
      <c r="C40">
        <v>0.10249999999999999</v>
      </c>
      <c r="D40">
        <v>5.4600000000000003E-2</v>
      </c>
      <c r="E40">
        <v>0.55200000000000005</v>
      </c>
      <c r="F40">
        <v>16.5915</v>
      </c>
      <c r="G40">
        <v>5.5300000000000002E-2</v>
      </c>
      <c r="H40">
        <f>_xlfn.XLOOKUP(A40,candidatas_con_clusters__3[ticker],candidatas_con_clusters__3[cluster],"No encontrado")</f>
        <v>3</v>
      </c>
    </row>
    <row r="41" spans="1:8" x14ac:dyDescent="0.25">
      <c r="A41" t="s">
        <v>47</v>
      </c>
      <c r="B41" t="s">
        <v>8</v>
      </c>
      <c r="C41">
        <v>9.5200000000000007E-2</v>
      </c>
      <c r="D41">
        <v>7.2499999999999995E-2</v>
      </c>
      <c r="E41">
        <v>0.66810000000000003</v>
      </c>
      <c r="F41">
        <v>15.161300000000001</v>
      </c>
      <c r="G41">
        <v>4.9700000000000001E-2</v>
      </c>
      <c r="H41">
        <f>_xlfn.XLOOKUP(A41,candidatas_con_clusters__3[ticker],candidatas_con_clusters__3[cluster],"No encontrado")</f>
        <v>3</v>
      </c>
    </row>
    <row r="42" spans="1:8" x14ac:dyDescent="0.25">
      <c r="A42" t="s">
        <v>48</v>
      </c>
      <c r="B42" t="s">
        <v>8</v>
      </c>
      <c r="C42">
        <v>8.9700000000000002E-2</v>
      </c>
      <c r="D42">
        <v>0.15310000000000001</v>
      </c>
      <c r="E42">
        <v>0</v>
      </c>
      <c r="F42">
        <v>21.880400000000002</v>
      </c>
      <c r="G42">
        <v>0.19220000000000001</v>
      </c>
      <c r="H42">
        <f>_xlfn.XLOOKUP(A42,candidatas_con_clusters__3[ticker],candidatas_con_clusters__3[cluster],"No encontrado")</f>
        <v>3</v>
      </c>
    </row>
    <row r="43" spans="1:8" x14ac:dyDescent="0.25">
      <c r="A43" t="s">
        <v>49</v>
      </c>
      <c r="B43" t="s">
        <v>50</v>
      </c>
      <c r="C43">
        <v>0.44940000000000002</v>
      </c>
      <c r="D43">
        <v>0.35570000000000002</v>
      </c>
      <c r="E43">
        <v>1.5881000000000001</v>
      </c>
      <c r="F43">
        <v>22.4011</v>
      </c>
      <c r="G43">
        <v>0.21179999999999999</v>
      </c>
      <c r="H43">
        <f>_xlfn.XLOOKUP(A43,candidatas_con_clusters__3[ticker],candidatas_con_clusters__3[cluster],"No encontrado")</f>
        <v>1</v>
      </c>
    </row>
    <row r="44" spans="1:8" x14ac:dyDescent="0.25">
      <c r="A44" t="s">
        <v>51</v>
      </c>
      <c r="B44" t="s">
        <v>50</v>
      </c>
      <c r="C44">
        <v>0.38850000000000001</v>
      </c>
      <c r="D44">
        <v>0.18709999999999999</v>
      </c>
      <c r="E44">
        <v>1.4564999999999999</v>
      </c>
      <c r="F44">
        <v>6.3528000000000002</v>
      </c>
      <c r="G44">
        <v>0.156</v>
      </c>
      <c r="H44">
        <f>_xlfn.XLOOKUP(A44,candidatas_con_clusters__3[ticker],candidatas_con_clusters__3[cluster],"No encontrado")</f>
        <v>1</v>
      </c>
    </row>
    <row r="45" spans="1:8" x14ac:dyDescent="0.25">
      <c r="A45" t="s">
        <v>52</v>
      </c>
      <c r="B45" t="s">
        <v>50</v>
      </c>
      <c r="C45">
        <v>0.29749999999999999</v>
      </c>
      <c r="D45">
        <v>0.31730000000000003</v>
      </c>
      <c r="E45">
        <v>2.444</v>
      </c>
      <c r="F45">
        <v>24.925000000000001</v>
      </c>
      <c r="G45">
        <v>8.9700000000000002E-2</v>
      </c>
      <c r="H45">
        <f>_xlfn.XLOOKUP(A45,candidatas_con_clusters__3[ticker],candidatas_con_clusters__3[cluster],"No encontrado")</f>
        <v>1</v>
      </c>
    </row>
    <row r="46" spans="1:8" x14ac:dyDescent="0.25">
      <c r="A46" t="s">
        <v>53</v>
      </c>
      <c r="B46" t="s">
        <v>50</v>
      </c>
      <c r="C46">
        <v>0.28310000000000002</v>
      </c>
      <c r="D46">
        <v>0.58220000000000005</v>
      </c>
      <c r="E46">
        <v>0.63260000000000005</v>
      </c>
      <c r="F46">
        <v>24.929200000000002</v>
      </c>
      <c r="G46">
        <v>0.38200000000000001</v>
      </c>
      <c r="H46">
        <f>_xlfn.XLOOKUP(A46,candidatas_con_clusters__3[ticker],candidatas_con_clusters__3[cluster],"No encontrado")</f>
        <v>2</v>
      </c>
    </row>
    <row r="47" spans="1:8" x14ac:dyDescent="0.25">
      <c r="A47" t="s">
        <v>54</v>
      </c>
      <c r="B47" t="s">
        <v>50</v>
      </c>
      <c r="C47">
        <v>0.26479999999999998</v>
      </c>
      <c r="D47">
        <v>0.15260000000000001</v>
      </c>
      <c r="E47">
        <v>1.4092</v>
      </c>
      <c r="F47">
        <v>47.4129</v>
      </c>
      <c r="G47">
        <v>0.63170000000000004</v>
      </c>
      <c r="H47">
        <f>_xlfn.XLOOKUP(A47,candidatas_con_clusters__3[ticker],candidatas_con_clusters__3[cluster],"No encontrado")</f>
        <v>0</v>
      </c>
    </row>
    <row r="48" spans="1:8" x14ac:dyDescent="0.25">
      <c r="A48" t="s">
        <v>55</v>
      </c>
      <c r="B48" t="s">
        <v>50</v>
      </c>
      <c r="C48">
        <v>0.25900000000000001</v>
      </c>
      <c r="D48">
        <v>0.30859999999999999</v>
      </c>
      <c r="E48">
        <v>0.60319999999999996</v>
      </c>
      <c r="F48">
        <v>19.428599999999999</v>
      </c>
      <c r="G48">
        <v>0.18290000000000001</v>
      </c>
      <c r="H48">
        <f>_xlfn.XLOOKUP(A48,candidatas_con_clusters__3[ticker],candidatas_con_clusters__3[cluster],"No encontrado")</f>
        <v>3</v>
      </c>
    </row>
    <row r="49" spans="1:8" x14ac:dyDescent="0.25">
      <c r="A49" t="s">
        <v>56</v>
      </c>
      <c r="B49" t="s">
        <v>50</v>
      </c>
      <c r="C49">
        <v>0.25840000000000002</v>
      </c>
      <c r="D49">
        <v>0.11700000000000001</v>
      </c>
      <c r="E49">
        <v>0.4486</v>
      </c>
      <c r="F49">
        <v>14.6294</v>
      </c>
      <c r="G49">
        <v>0.1134</v>
      </c>
      <c r="H49">
        <f>_xlfn.XLOOKUP(A49,candidatas_con_clusters__3[ticker],candidatas_con_clusters__3[cluster],"No encontrado")</f>
        <v>3</v>
      </c>
    </row>
    <row r="50" spans="1:8" x14ac:dyDescent="0.25">
      <c r="A50" t="s">
        <v>57</v>
      </c>
      <c r="B50" t="s">
        <v>50</v>
      </c>
      <c r="C50">
        <v>0.2409</v>
      </c>
      <c r="D50">
        <v>0.27679999999999999</v>
      </c>
      <c r="E50">
        <v>2.4588999999999999</v>
      </c>
      <c r="F50">
        <v>15.2857</v>
      </c>
      <c r="G50">
        <v>0.1133</v>
      </c>
      <c r="H50">
        <f>_xlfn.XLOOKUP(A50,candidatas_con_clusters__3[ticker],candidatas_con_clusters__3[cluster],"No encontrado")</f>
        <v>1</v>
      </c>
    </row>
    <row r="51" spans="1:8" x14ac:dyDescent="0.25">
      <c r="A51" t="s">
        <v>58</v>
      </c>
      <c r="B51" t="s">
        <v>50</v>
      </c>
      <c r="C51">
        <v>0.22739999999999999</v>
      </c>
      <c r="D51">
        <v>0.10489999999999999</v>
      </c>
      <c r="E51">
        <v>0.2082</v>
      </c>
      <c r="F51">
        <v>11.438599999999999</v>
      </c>
      <c r="G51">
        <v>0.25569999999999998</v>
      </c>
      <c r="H51">
        <f>_xlfn.XLOOKUP(A51,candidatas_con_clusters__3[ticker],candidatas_con_clusters__3[cluster],"No encontrado")</f>
        <v>3</v>
      </c>
    </row>
    <row r="52" spans="1:8" x14ac:dyDescent="0.25">
      <c r="A52" t="s">
        <v>59</v>
      </c>
      <c r="B52" t="s">
        <v>50</v>
      </c>
      <c r="C52">
        <v>0.222</v>
      </c>
      <c r="D52">
        <v>7.0800000000000002E-2</v>
      </c>
      <c r="E52">
        <v>1.6505000000000001</v>
      </c>
      <c r="F52">
        <v>14.6364</v>
      </c>
      <c r="G52">
        <v>0.21709999999999999</v>
      </c>
      <c r="H52">
        <f>_xlfn.XLOOKUP(A52,candidatas_con_clusters__3[ticker],candidatas_con_clusters__3[cluster],"No encontrado")</f>
        <v>1</v>
      </c>
    </row>
    <row r="53" spans="1:8" x14ac:dyDescent="0.25">
      <c r="A53" t="s">
        <v>60</v>
      </c>
      <c r="B53" t="s">
        <v>50</v>
      </c>
      <c r="C53">
        <v>0.2152</v>
      </c>
      <c r="D53">
        <v>0.1065</v>
      </c>
      <c r="E53">
        <v>0.47820000000000001</v>
      </c>
      <c r="F53">
        <v>9.5229999999999997</v>
      </c>
      <c r="G53">
        <v>0.11799999999999999</v>
      </c>
      <c r="H53">
        <f>_xlfn.XLOOKUP(A53,candidatas_con_clusters__3[ticker],candidatas_con_clusters__3[cluster],"No encontrado")</f>
        <v>3</v>
      </c>
    </row>
    <row r="54" spans="1:8" x14ac:dyDescent="0.25">
      <c r="A54" t="s">
        <v>61</v>
      </c>
      <c r="B54" t="s">
        <v>50</v>
      </c>
      <c r="C54">
        <v>0.20979999999999999</v>
      </c>
      <c r="D54">
        <v>0.29620000000000002</v>
      </c>
      <c r="E54">
        <v>0.65439999999999998</v>
      </c>
      <c r="F54">
        <v>20.0336</v>
      </c>
      <c r="G54">
        <v>0.3422</v>
      </c>
      <c r="H54">
        <f>_xlfn.XLOOKUP(A54,candidatas_con_clusters__3[ticker],candidatas_con_clusters__3[cluster],"No encontrado")</f>
        <v>3</v>
      </c>
    </row>
    <row r="55" spans="1:8" x14ac:dyDescent="0.25">
      <c r="A55" t="s">
        <v>62</v>
      </c>
      <c r="B55" t="s">
        <v>50</v>
      </c>
      <c r="C55">
        <v>0.20860000000000001</v>
      </c>
      <c r="D55">
        <v>0.3165</v>
      </c>
      <c r="E55">
        <v>0.55889999999999995</v>
      </c>
      <c r="F55">
        <v>11.4932</v>
      </c>
      <c r="G55">
        <v>3.5900000000000001E-2</v>
      </c>
      <c r="H55">
        <f>_xlfn.XLOOKUP(A55,candidatas_con_clusters__3[ticker],candidatas_con_clusters__3[cluster],"No encontrado")</f>
        <v>3</v>
      </c>
    </row>
    <row r="56" spans="1:8" x14ac:dyDescent="0.25">
      <c r="A56" t="s">
        <v>63</v>
      </c>
      <c r="B56" t="s">
        <v>50</v>
      </c>
      <c r="C56">
        <v>0.20830000000000001</v>
      </c>
      <c r="D56">
        <v>0.18779999999999999</v>
      </c>
      <c r="E56">
        <v>1.7532000000000001</v>
      </c>
      <c r="F56">
        <v>59.048999999999999</v>
      </c>
      <c r="G56">
        <v>0.41260000000000002</v>
      </c>
      <c r="H56">
        <f>_xlfn.XLOOKUP(A56,candidatas_con_clusters__3[ticker],candidatas_con_clusters__3[cluster],"No encontrado")</f>
        <v>0</v>
      </c>
    </row>
    <row r="57" spans="1:8" x14ac:dyDescent="0.25">
      <c r="A57" t="s">
        <v>64</v>
      </c>
      <c r="B57" t="s">
        <v>50</v>
      </c>
      <c r="C57">
        <v>0.2051</v>
      </c>
      <c r="D57">
        <v>0.31869999999999998</v>
      </c>
      <c r="E57">
        <v>1.2246999999999999</v>
      </c>
      <c r="F57">
        <v>8.3367000000000004</v>
      </c>
      <c r="G57">
        <v>0.36530000000000001</v>
      </c>
      <c r="H57">
        <f>_xlfn.XLOOKUP(A57,candidatas_con_clusters__3[ticker],candidatas_con_clusters__3[cluster],"No encontrado")</f>
        <v>1</v>
      </c>
    </row>
    <row r="58" spans="1:8" x14ac:dyDescent="0.25">
      <c r="A58" t="s">
        <v>65</v>
      </c>
      <c r="B58" t="s">
        <v>50</v>
      </c>
      <c r="C58">
        <v>0.19819999999999999</v>
      </c>
      <c r="D58">
        <v>0.2288</v>
      </c>
      <c r="E58">
        <v>1.4944</v>
      </c>
      <c r="F58">
        <v>10.3764</v>
      </c>
      <c r="G58">
        <v>0.19789999999999999</v>
      </c>
      <c r="H58">
        <f>_xlfn.XLOOKUP(A58,candidatas_con_clusters__3[ticker],candidatas_con_clusters__3[cluster],"No encontrado")</f>
        <v>1</v>
      </c>
    </row>
    <row r="59" spans="1:8" x14ac:dyDescent="0.25">
      <c r="A59" t="s">
        <v>66</v>
      </c>
      <c r="B59" t="s">
        <v>50</v>
      </c>
      <c r="C59">
        <v>0.19670000000000001</v>
      </c>
      <c r="D59">
        <v>0.20349999999999999</v>
      </c>
      <c r="E59">
        <v>1.1935</v>
      </c>
      <c r="F59">
        <v>14.4755</v>
      </c>
      <c r="G59">
        <v>0.4032</v>
      </c>
      <c r="H59">
        <f>_xlfn.XLOOKUP(A59,candidatas_con_clusters__3[ticker],candidatas_con_clusters__3[cluster],"No encontrado")</f>
        <v>1</v>
      </c>
    </row>
    <row r="60" spans="1:8" x14ac:dyDescent="0.25">
      <c r="A60" t="s">
        <v>67</v>
      </c>
      <c r="B60" t="s">
        <v>50</v>
      </c>
      <c r="C60">
        <v>0.1835</v>
      </c>
      <c r="D60">
        <v>0.26150000000000001</v>
      </c>
      <c r="E60">
        <v>0.87660000000000005</v>
      </c>
      <c r="F60">
        <v>14.0289</v>
      </c>
      <c r="G60">
        <v>0.37030000000000002</v>
      </c>
      <c r="H60">
        <f>_xlfn.XLOOKUP(A60,candidatas_con_clusters__3[ticker],candidatas_con_clusters__3[cluster],"No encontrado")</f>
        <v>3</v>
      </c>
    </row>
    <row r="61" spans="1:8" x14ac:dyDescent="0.25">
      <c r="A61" t="s">
        <v>68</v>
      </c>
      <c r="B61" t="s">
        <v>50</v>
      </c>
      <c r="C61">
        <v>0.17299999999999999</v>
      </c>
      <c r="D61">
        <v>0.1459</v>
      </c>
      <c r="E61">
        <v>0.1573</v>
      </c>
      <c r="F61">
        <v>12.9038</v>
      </c>
      <c r="G61">
        <v>0.11360000000000001</v>
      </c>
      <c r="H61">
        <f>_xlfn.XLOOKUP(A61,candidatas_con_clusters__3[ticker],candidatas_con_clusters__3[cluster],"No encontrado")</f>
        <v>3</v>
      </c>
    </row>
    <row r="62" spans="1:8" x14ac:dyDescent="0.25">
      <c r="A62" t="s">
        <v>69</v>
      </c>
      <c r="B62" t="s">
        <v>50</v>
      </c>
      <c r="C62">
        <v>0.17019999999999999</v>
      </c>
      <c r="D62">
        <v>3.1800000000000002E-2</v>
      </c>
      <c r="E62">
        <v>1.2284999999999999</v>
      </c>
      <c r="F62">
        <v>21.472799999999999</v>
      </c>
      <c r="G62">
        <v>2.8799999999999999E-2</v>
      </c>
      <c r="H62">
        <f>_xlfn.XLOOKUP(A62,candidatas_con_clusters__3[ticker],candidatas_con_clusters__3[cluster],"No encontrado")</f>
        <v>1</v>
      </c>
    </row>
    <row r="63" spans="1:8" x14ac:dyDescent="0.25">
      <c r="A63" t="s">
        <v>70</v>
      </c>
      <c r="B63" t="s">
        <v>50</v>
      </c>
      <c r="C63">
        <v>0.1699</v>
      </c>
      <c r="D63">
        <v>0.33450000000000002</v>
      </c>
      <c r="E63">
        <v>1.1383000000000001</v>
      </c>
      <c r="F63">
        <v>5.5053000000000001</v>
      </c>
      <c r="G63">
        <v>0.19339999999999999</v>
      </c>
      <c r="H63">
        <f>_xlfn.XLOOKUP(A63,candidatas_con_clusters__3[ticker],candidatas_con_clusters__3[cluster],"No encontrado")</f>
        <v>1</v>
      </c>
    </row>
    <row r="64" spans="1:8" x14ac:dyDescent="0.25">
      <c r="A64" t="s">
        <v>71</v>
      </c>
      <c r="B64" t="s">
        <v>50</v>
      </c>
      <c r="C64">
        <v>0.16800000000000001</v>
      </c>
      <c r="D64">
        <v>0.1024</v>
      </c>
      <c r="E64">
        <v>0.30590000000000001</v>
      </c>
      <c r="F64">
        <v>11.1859</v>
      </c>
      <c r="G64">
        <v>2.7900000000000001E-2</v>
      </c>
      <c r="H64">
        <f>_xlfn.XLOOKUP(A64,candidatas_con_clusters__3[ticker],candidatas_con_clusters__3[cluster],"No encontrado")</f>
        <v>3</v>
      </c>
    </row>
    <row r="65" spans="1:8" x14ac:dyDescent="0.25">
      <c r="A65" t="s">
        <v>72</v>
      </c>
      <c r="B65" t="s">
        <v>50</v>
      </c>
      <c r="C65">
        <v>0.1676</v>
      </c>
      <c r="D65">
        <v>0.22420000000000001</v>
      </c>
      <c r="E65">
        <v>0</v>
      </c>
      <c r="F65">
        <v>14.699199999999999</v>
      </c>
      <c r="G65">
        <v>6.7199999999999996E-2</v>
      </c>
      <c r="H65">
        <f>_xlfn.XLOOKUP(A65,candidatas_con_clusters__3[ticker],candidatas_con_clusters__3[cluster],"No encontrado")</f>
        <v>3</v>
      </c>
    </row>
    <row r="66" spans="1:8" x14ac:dyDescent="0.25">
      <c r="A66" t="s">
        <v>73</v>
      </c>
      <c r="B66" t="s">
        <v>50</v>
      </c>
      <c r="C66">
        <v>0.1646</v>
      </c>
      <c r="D66">
        <v>0.16170000000000001</v>
      </c>
      <c r="E66">
        <v>0.3337</v>
      </c>
      <c r="F66">
        <v>17.177199999999999</v>
      </c>
      <c r="G66">
        <v>0.24490000000000001</v>
      </c>
      <c r="H66">
        <f>_xlfn.XLOOKUP(A66,candidatas_con_clusters__3[ticker],candidatas_con_clusters__3[cluster],"No encontrado")</f>
        <v>3</v>
      </c>
    </row>
    <row r="67" spans="1:8" x14ac:dyDescent="0.25">
      <c r="A67" t="s">
        <v>74</v>
      </c>
      <c r="B67" t="s">
        <v>50</v>
      </c>
      <c r="C67">
        <v>0.16350000000000001</v>
      </c>
      <c r="D67">
        <v>9.1399999999999995E-2</v>
      </c>
      <c r="E67">
        <v>0.29120000000000001</v>
      </c>
      <c r="F67">
        <v>7.7561</v>
      </c>
      <c r="G67">
        <v>7.2999999999999995E-2</v>
      </c>
      <c r="H67">
        <f>_xlfn.XLOOKUP(A67,candidatas_con_clusters__3[ticker],candidatas_con_clusters__3[cluster],"No encontrado")</f>
        <v>3</v>
      </c>
    </row>
    <row r="68" spans="1:8" x14ac:dyDescent="0.25">
      <c r="A68" t="s">
        <v>75</v>
      </c>
      <c r="B68" t="s">
        <v>50</v>
      </c>
      <c r="C68">
        <v>0.1615</v>
      </c>
      <c r="D68">
        <v>0.22489999999999999</v>
      </c>
      <c r="E68">
        <v>0.36890000000000001</v>
      </c>
      <c r="F68">
        <v>9.3612000000000002</v>
      </c>
      <c r="G68">
        <v>0.5393</v>
      </c>
      <c r="H68">
        <f>_xlfn.XLOOKUP(A68,candidatas_con_clusters__3[ticker],candidatas_con_clusters__3[cluster],"No encontrado")</f>
        <v>3</v>
      </c>
    </row>
    <row r="69" spans="1:8" x14ac:dyDescent="0.25">
      <c r="A69" t="s">
        <v>76</v>
      </c>
      <c r="B69" t="s">
        <v>50</v>
      </c>
      <c r="C69">
        <v>0.15429999999999999</v>
      </c>
      <c r="D69">
        <v>5.8099999999999999E-2</v>
      </c>
      <c r="E69">
        <v>1.1827000000000001</v>
      </c>
      <c r="F69">
        <v>23.920500000000001</v>
      </c>
      <c r="G69">
        <v>4.7000000000000002E-3</v>
      </c>
      <c r="H69">
        <f>_xlfn.XLOOKUP(A69,candidatas_con_clusters__3[ticker],candidatas_con_clusters__3[cluster],"No encontrado")</f>
        <v>1</v>
      </c>
    </row>
    <row r="70" spans="1:8" x14ac:dyDescent="0.25">
      <c r="A70" t="s">
        <v>77</v>
      </c>
      <c r="B70" t="s">
        <v>50</v>
      </c>
      <c r="C70">
        <v>0.1537</v>
      </c>
      <c r="D70">
        <v>0.24759999999999999</v>
      </c>
      <c r="E70">
        <v>0.99519999999999997</v>
      </c>
      <c r="F70">
        <v>15.789899999999999</v>
      </c>
      <c r="G70">
        <v>1.0719000000000001</v>
      </c>
      <c r="H70">
        <f>_xlfn.XLOOKUP(A70,candidatas_con_clusters__3[ticker],candidatas_con_clusters__3[cluster],"No encontrado")</f>
        <v>2</v>
      </c>
    </row>
    <row r="71" spans="1:8" x14ac:dyDescent="0.25">
      <c r="A71" t="s">
        <v>78</v>
      </c>
      <c r="B71" t="s">
        <v>50</v>
      </c>
      <c r="C71">
        <v>0.14449999999999999</v>
      </c>
      <c r="D71">
        <v>0.19009999999999999</v>
      </c>
      <c r="E71">
        <v>1.6199999999999999E-2</v>
      </c>
      <c r="F71">
        <v>15.0107</v>
      </c>
      <c r="G71">
        <v>9.69E-2</v>
      </c>
      <c r="H71">
        <f>_xlfn.XLOOKUP(A71,candidatas_con_clusters__3[ticker],candidatas_con_clusters__3[cluster],"No encontrado")</f>
        <v>3</v>
      </c>
    </row>
    <row r="72" spans="1:8" x14ac:dyDescent="0.25">
      <c r="A72" t="s">
        <v>79</v>
      </c>
      <c r="B72" t="s">
        <v>50</v>
      </c>
      <c r="C72">
        <v>0.14369999999999999</v>
      </c>
      <c r="D72">
        <v>0.1119</v>
      </c>
      <c r="E72">
        <v>0.35220000000000001</v>
      </c>
      <c r="F72">
        <v>20.335699999999999</v>
      </c>
      <c r="G72">
        <v>7.3200000000000001E-2</v>
      </c>
      <c r="H72">
        <f>_xlfn.XLOOKUP(A72,candidatas_con_clusters__3[ticker],candidatas_con_clusters__3[cluster],"No encontrado")</f>
        <v>3</v>
      </c>
    </row>
    <row r="73" spans="1:8" x14ac:dyDescent="0.25">
      <c r="A73" t="s">
        <v>80</v>
      </c>
      <c r="B73" t="s">
        <v>50</v>
      </c>
      <c r="C73">
        <v>0.14130000000000001</v>
      </c>
      <c r="D73">
        <v>0.11609999999999999</v>
      </c>
      <c r="E73">
        <v>0.76649999999999996</v>
      </c>
      <c r="F73">
        <v>15.996499999999999</v>
      </c>
      <c r="G73">
        <v>0.19370000000000001</v>
      </c>
      <c r="H73">
        <f>_xlfn.XLOOKUP(A73,candidatas_con_clusters__3[ticker],candidatas_con_clusters__3[cluster],"No encontrado")</f>
        <v>3</v>
      </c>
    </row>
    <row r="74" spans="1:8" x14ac:dyDescent="0.25">
      <c r="A74" t="s">
        <v>81</v>
      </c>
      <c r="B74" t="s">
        <v>50</v>
      </c>
      <c r="C74">
        <v>0.13750000000000001</v>
      </c>
      <c r="D74">
        <v>0.2094</v>
      </c>
      <c r="E74">
        <v>0.64180000000000004</v>
      </c>
      <c r="F74">
        <v>7</v>
      </c>
      <c r="G74">
        <v>6.1199999999999997E-2</v>
      </c>
      <c r="H74">
        <f>_xlfn.XLOOKUP(A74,candidatas_con_clusters__3[ticker],candidatas_con_clusters__3[cluster],"No encontrado")</f>
        <v>3</v>
      </c>
    </row>
    <row r="75" spans="1:8" x14ac:dyDescent="0.25">
      <c r="A75" t="s">
        <v>82</v>
      </c>
      <c r="B75" t="s">
        <v>50</v>
      </c>
      <c r="C75">
        <v>0.13669999999999999</v>
      </c>
      <c r="D75">
        <v>0.18149999999999999</v>
      </c>
      <c r="E75">
        <v>0.57630000000000003</v>
      </c>
      <c r="F75">
        <v>9.5091999999999999</v>
      </c>
      <c r="G75">
        <v>1.1805000000000001</v>
      </c>
      <c r="H75">
        <f>_xlfn.XLOOKUP(A75,candidatas_con_clusters__3[ticker],candidatas_con_clusters__3[cluster],"No encontrado")</f>
        <v>2</v>
      </c>
    </row>
    <row r="76" spans="1:8" x14ac:dyDescent="0.25">
      <c r="A76" t="s">
        <v>83</v>
      </c>
      <c r="B76" t="s">
        <v>50</v>
      </c>
      <c r="C76">
        <v>0.13600000000000001</v>
      </c>
      <c r="D76">
        <v>0.20830000000000001</v>
      </c>
      <c r="E76">
        <v>0.48459999999999998</v>
      </c>
      <c r="F76">
        <v>9.9673999999999996</v>
      </c>
      <c r="G76">
        <v>6.9800000000000001E-2</v>
      </c>
      <c r="H76">
        <f>_xlfn.XLOOKUP(A76,candidatas_con_clusters__3[ticker],candidatas_con_clusters__3[cluster],"No encontrado")</f>
        <v>3</v>
      </c>
    </row>
    <row r="77" spans="1:8" x14ac:dyDescent="0.25">
      <c r="A77" t="s">
        <v>84</v>
      </c>
      <c r="B77" t="s">
        <v>50</v>
      </c>
      <c r="C77">
        <v>0.13450000000000001</v>
      </c>
      <c r="D77">
        <v>0.1699</v>
      </c>
      <c r="E77">
        <v>0.51139999999999997</v>
      </c>
      <c r="F77">
        <v>7.6402999999999999</v>
      </c>
      <c r="G77">
        <v>0.23230000000000001</v>
      </c>
      <c r="H77">
        <f>_xlfn.XLOOKUP(A77,candidatas_con_clusters__3[ticker],candidatas_con_clusters__3[cluster],"No encontrado")</f>
        <v>3</v>
      </c>
    </row>
    <row r="78" spans="1:8" x14ac:dyDescent="0.25">
      <c r="A78" t="s">
        <v>85</v>
      </c>
      <c r="B78" t="s">
        <v>50</v>
      </c>
      <c r="C78">
        <v>0.13350000000000001</v>
      </c>
      <c r="D78">
        <v>9.8400000000000001E-2</v>
      </c>
      <c r="E78">
        <v>0.1099</v>
      </c>
      <c r="F78">
        <v>14.684699999999999</v>
      </c>
      <c r="G78">
        <v>0.1169</v>
      </c>
      <c r="H78">
        <f>_xlfn.XLOOKUP(A78,candidatas_con_clusters__3[ticker],candidatas_con_clusters__3[cluster],"No encontrado")</f>
        <v>3</v>
      </c>
    </row>
    <row r="79" spans="1:8" x14ac:dyDescent="0.25">
      <c r="A79" t="s">
        <v>86</v>
      </c>
      <c r="B79" t="s">
        <v>50</v>
      </c>
      <c r="C79">
        <v>0.13120000000000001</v>
      </c>
      <c r="D79">
        <v>0.13800000000000001</v>
      </c>
      <c r="E79">
        <v>2.9999999999999997E-4</v>
      </c>
      <c r="F79">
        <v>16.145600000000002</v>
      </c>
      <c r="G79">
        <v>6.9500000000000006E-2</v>
      </c>
      <c r="H79">
        <f>_xlfn.XLOOKUP(A79,candidatas_con_clusters__3[ticker],candidatas_con_clusters__3[cluster],"No encontrado")</f>
        <v>3</v>
      </c>
    </row>
    <row r="80" spans="1:8" x14ac:dyDescent="0.25">
      <c r="A80" t="s">
        <v>87</v>
      </c>
      <c r="B80" t="s">
        <v>50</v>
      </c>
      <c r="C80">
        <v>0.12909999999999999</v>
      </c>
      <c r="D80">
        <v>0.15840000000000001</v>
      </c>
      <c r="E80">
        <v>0</v>
      </c>
      <c r="F80">
        <v>12.2727</v>
      </c>
      <c r="G80">
        <v>1.0958000000000001</v>
      </c>
      <c r="H80">
        <f>_xlfn.XLOOKUP(A80,candidatas_con_clusters__3[ticker],candidatas_con_clusters__3[cluster],"No encontrado")</f>
        <v>2</v>
      </c>
    </row>
    <row r="81" spans="1:8" x14ac:dyDescent="0.25">
      <c r="A81" t="s">
        <v>88</v>
      </c>
      <c r="B81" t="s">
        <v>50</v>
      </c>
      <c r="C81">
        <v>0.12790000000000001</v>
      </c>
      <c r="D81">
        <v>0.25629999999999997</v>
      </c>
      <c r="E81">
        <v>0.39029999999999998</v>
      </c>
      <c r="F81">
        <v>12.803800000000001</v>
      </c>
      <c r="G81">
        <v>0.65680000000000005</v>
      </c>
      <c r="H81">
        <f>_xlfn.XLOOKUP(A81,candidatas_con_clusters__3[ticker],candidatas_con_clusters__3[cluster],"No encontrado")</f>
        <v>2</v>
      </c>
    </row>
    <row r="82" spans="1:8" x14ac:dyDescent="0.25">
      <c r="A82" t="s">
        <v>89</v>
      </c>
      <c r="B82" t="s">
        <v>50</v>
      </c>
      <c r="C82">
        <v>0.125</v>
      </c>
      <c r="D82">
        <v>0.1002</v>
      </c>
      <c r="E82">
        <v>0.3019</v>
      </c>
      <c r="F82">
        <v>11.0266</v>
      </c>
      <c r="G82">
        <v>0.1409</v>
      </c>
      <c r="H82">
        <f>_xlfn.XLOOKUP(A82,candidatas_con_clusters__3[ticker],candidatas_con_clusters__3[cluster],"No encontrado")</f>
        <v>3</v>
      </c>
    </row>
    <row r="83" spans="1:8" x14ac:dyDescent="0.25">
      <c r="A83" t="s">
        <v>90</v>
      </c>
      <c r="B83" t="s">
        <v>50</v>
      </c>
      <c r="C83">
        <v>0.1242</v>
      </c>
      <c r="D83">
        <v>0.14169999999999999</v>
      </c>
      <c r="E83">
        <v>0.71479999999999999</v>
      </c>
      <c r="F83">
        <v>19.605</v>
      </c>
      <c r="G83">
        <v>0.155</v>
      </c>
      <c r="H83">
        <f>_xlfn.XLOOKUP(A83,candidatas_con_clusters__3[ticker],candidatas_con_clusters__3[cluster],"No encontrado")</f>
        <v>3</v>
      </c>
    </row>
    <row r="84" spans="1:8" x14ac:dyDescent="0.25">
      <c r="A84" t="s">
        <v>91</v>
      </c>
      <c r="B84" t="s">
        <v>50</v>
      </c>
      <c r="C84">
        <v>0.1239</v>
      </c>
      <c r="D84">
        <v>6.3399999999999998E-2</v>
      </c>
      <c r="E84">
        <v>0.67889999999999995</v>
      </c>
      <c r="F84">
        <v>9.7805</v>
      </c>
      <c r="G84">
        <v>0.21029999999999999</v>
      </c>
      <c r="H84">
        <f>_xlfn.XLOOKUP(A84,candidatas_con_clusters__3[ticker],candidatas_con_clusters__3[cluster],"No encontrado")</f>
        <v>3</v>
      </c>
    </row>
    <row r="85" spans="1:8" x14ac:dyDescent="0.25">
      <c r="A85" t="s">
        <v>92</v>
      </c>
      <c r="B85" t="s">
        <v>50</v>
      </c>
      <c r="C85">
        <v>0.12089999999999999</v>
      </c>
      <c r="D85">
        <v>0.1167</v>
      </c>
      <c r="E85">
        <v>0.153</v>
      </c>
      <c r="F85">
        <v>11.201700000000001</v>
      </c>
      <c r="G85">
        <v>0.1154</v>
      </c>
      <c r="H85">
        <f>_xlfn.XLOOKUP(A85,candidatas_con_clusters__3[ticker],candidatas_con_clusters__3[cluster],"No encontrado")</f>
        <v>3</v>
      </c>
    </row>
    <row r="86" spans="1:8" x14ac:dyDescent="0.25">
      <c r="A86" t="s">
        <v>93</v>
      </c>
      <c r="B86" t="s">
        <v>50</v>
      </c>
      <c r="C86">
        <v>0.11799999999999999</v>
      </c>
      <c r="D86">
        <v>0.1762</v>
      </c>
      <c r="E86">
        <v>0.33350000000000002</v>
      </c>
      <c r="F86">
        <v>11.729699999999999</v>
      </c>
      <c r="G86">
        <v>0.2631</v>
      </c>
      <c r="H86">
        <f>_xlfn.XLOOKUP(A86,candidatas_con_clusters__3[ticker],candidatas_con_clusters__3[cluster],"No encontrado")</f>
        <v>3</v>
      </c>
    </row>
    <row r="87" spans="1:8" x14ac:dyDescent="0.25">
      <c r="A87" t="s">
        <v>94</v>
      </c>
      <c r="B87" t="s">
        <v>50</v>
      </c>
      <c r="C87">
        <v>0.1176</v>
      </c>
      <c r="D87">
        <v>0.23730000000000001</v>
      </c>
      <c r="E87">
        <v>0.5877</v>
      </c>
      <c r="F87">
        <v>14.116099999999999</v>
      </c>
      <c r="G87">
        <v>1.9900000000000001E-2</v>
      </c>
      <c r="H87">
        <f>_xlfn.XLOOKUP(A87,candidatas_con_clusters__3[ticker],candidatas_con_clusters__3[cluster],"No encontrado")</f>
        <v>3</v>
      </c>
    </row>
    <row r="88" spans="1:8" x14ac:dyDescent="0.25">
      <c r="A88" t="s">
        <v>95</v>
      </c>
      <c r="B88" t="s">
        <v>50</v>
      </c>
      <c r="C88">
        <v>0.11700000000000001</v>
      </c>
      <c r="D88">
        <v>0.2172</v>
      </c>
      <c r="E88">
        <v>0.32950000000000002</v>
      </c>
      <c r="F88">
        <v>17.6373</v>
      </c>
      <c r="G88">
        <v>0.21329999999999999</v>
      </c>
      <c r="H88">
        <f>_xlfn.XLOOKUP(A88,candidatas_con_clusters__3[ticker],candidatas_con_clusters__3[cluster],"No encontrado")</f>
        <v>3</v>
      </c>
    </row>
    <row r="89" spans="1:8" x14ac:dyDescent="0.25">
      <c r="A89" t="s">
        <v>96</v>
      </c>
      <c r="B89" t="s">
        <v>50</v>
      </c>
      <c r="C89">
        <v>0.1134</v>
      </c>
      <c r="D89">
        <v>8.2900000000000001E-2</v>
      </c>
      <c r="E89">
        <v>0.68240000000000001</v>
      </c>
      <c r="F89">
        <v>10.139900000000001</v>
      </c>
      <c r="G89">
        <v>0.21199999999999999</v>
      </c>
      <c r="H89">
        <f>_xlfn.XLOOKUP(A89,candidatas_con_clusters__3[ticker],candidatas_con_clusters__3[cluster],"No encontrado")</f>
        <v>3</v>
      </c>
    </row>
    <row r="90" spans="1:8" x14ac:dyDescent="0.25">
      <c r="A90" t="s">
        <v>97</v>
      </c>
      <c r="B90" t="s">
        <v>50</v>
      </c>
      <c r="C90">
        <v>0.11070000000000001</v>
      </c>
      <c r="D90">
        <v>0.39090000000000003</v>
      </c>
      <c r="E90">
        <v>0.3846</v>
      </c>
      <c r="F90">
        <v>16.288799999999998</v>
      </c>
      <c r="G90">
        <v>1.3832</v>
      </c>
      <c r="H90">
        <f>_xlfn.XLOOKUP(A90,candidatas_con_clusters__3[ticker],candidatas_con_clusters__3[cluster],"No encontrado")</f>
        <v>2</v>
      </c>
    </row>
    <row r="91" spans="1:8" x14ac:dyDescent="0.25">
      <c r="A91" t="s">
        <v>98</v>
      </c>
      <c r="B91" t="s">
        <v>50</v>
      </c>
      <c r="C91">
        <v>0.1084</v>
      </c>
      <c r="D91">
        <v>0.18340000000000001</v>
      </c>
      <c r="E91">
        <v>0.30859999999999999</v>
      </c>
      <c r="F91">
        <v>23.2578</v>
      </c>
      <c r="G91">
        <v>0.3866</v>
      </c>
      <c r="H91">
        <f>_xlfn.XLOOKUP(A91,candidatas_con_clusters__3[ticker],candidatas_con_clusters__3[cluster],"No encontrado")</f>
        <v>3</v>
      </c>
    </row>
    <row r="92" spans="1:8" x14ac:dyDescent="0.25">
      <c r="A92" t="s">
        <v>99</v>
      </c>
      <c r="B92" t="s">
        <v>50</v>
      </c>
      <c r="C92">
        <v>0.1077</v>
      </c>
      <c r="D92">
        <v>0.36880000000000002</v>
      </c>
      <c r="E92">
        <v>0.30640000000000001</v>
      </c>
      <c r="F92">
        <v>14.3931</v>
      </c>
      <c r="G92">
        <v>1.5528</v>
      </c>
      <c r="H92">
        <f>_xlfn.XLOOKUP(A92,candidatas_con_clusters__3[ticker],candidatas_con_clusters__3[cluster],"No encontrado")</f>
        <v>2</v>
      </c>
    </row>
    <row r="93" spans="1:8" x14ac:dyDescent="0.25">
      <c r="A93" t="s">
        <v>100</v>
      </c>
      <c r="B93" t="s">
        <v>50</v>
      </c>
      <c r="C93">
        <v>0.1056</v>
      </c>
      <c r="D93">
        <v>0.16539999999999999</v>
      </c>
      <c r="E93">
        <v>0.34789999999999999</v>
      </c>
      <c r="F93">
        <v>9.9841999999999995</v>
      </c>
      <c r="G93">
        <v>1.6E-2</v>
      </c>
      <c r="H93">
        <f>_xlfn.XLOOKUP(A93,candidatas_con_clusters__3[ticker],candidatas_con_clusters__3[cluster],"No encontrado")</f>
        <v>3</v>
      </c>
    </row>
    <row r="94" spans="1:8" x14ac:dyDescent="0.25">
      <c r="A94" t="s">
        <v>101</v>
      </c>
      <c r="B94" t="s">
        <v>50</v>
      </c>
      <c r="C94">
        <v>0.1055</v>
      </c>
      <c r="D94">
        <v>0.16400000000000001</v>
      </c>
      <c r="E94">
        <v>0.77559999999999996</v>
      </c>
      <c r="F94">
        <v>47.991399999999999</v>
      </c>
      <c r="G94">
        <v>0.32419999999999999</v>
      </c>
      <c r="H94">
        <f>_xlfn.XLOOKUP(A94,candidatas_con_clusters__3[ticker],candidatas_con_clusters__3[cluster],"No encontrado")</f>
        <v>0</v>
      </c>
    </row>
    <row r="95" spans="1:8" x14ac:dyDescent="0.25">
      <c r="A95" t="s">
        <v>102</v>
      </c>
      <c r="B95" t="s">
        <v>50</v>
      </c>
      <c r="C95">
        <v>0.10249999999999999</v>
      </c>
      <c r="D95">
        <v>0.20730000000000001</v>
      </c>
      <c r="E95">
        <v>0.13139999999999999</v>
      </c>
      <c r="F95">
        <v>56.526299999999999</v>
      </c>
      <c r="G95">
        <v>1.2546999999999999</v>
      </c>
      <c r="H95">
        <f>_xlfn.XLOOKUP(A95,candidatas_con_clusters__3[ticker],candidatas_con_clusters__3[cluster],"No encontrado")</f>
        <v>0</v>
      </c>
    </row>
    <row r="96" spans="1:8" x14ac:dyDescent="0.25">
      <c r="A96" t="s">
        <v>103</v>
      </c>
      <c r="B96" t="s">
        <v>50</v>
      </c>
      <c r="C96">
        <v>0.1019</v>
      </c>
      <c r="D96">
        <v>0.20230000000000001</v>
      </c>
      <c r="E96">
        <v>0.67449999999999999</v>
      </c>
      <c r="F96">
        <v>20.398800000000001</v>
      </c>
      <c r="G96">
        <v>0.1467</v>
      </c>
      <c r="H96">
        <f>_xlfn.XLOOKUP(A96,candidatas_con_clusters__3[ticker],candidatas_con_clusters__3[cluster],"No encontrado")</f>
        <v>3</v>
      </c>
    </row>
    <row r="97" spans="1:8" x14ac:dyDescent="0.25">
      <c r="A97" t="s">
        <v>104</v>
      </c>
      <c r="B97" t="s">
        <v>50</v>
      </c>
      <c r="C97">
        <v>0.10009999999999999</v>
      </c>
      <c r="D97">
        <v>4.3299999999999998E-2</v>
      </c>
      <c r="E97">
        <v>0.5988</v>
      </c>
      <c r="F97">
        <v>10.9465</v>
      </c>
      <c r="G97">
        <v>0.1386</v>
      </c>
      <c r="H97">
        <f>_xlfn.XLOOKUP(A97,candidatas_con_clusters__3[ticker],candidatas_con_clusters__3[cluster],"No encontrado")</f>
        <v>3</v>
      </c>
    </row>
    <row r="98" spans="1:8" x14ac:dyDescent="0.25">
      <c r="A98" t="s">
        <v>105</v>
      </c>
      <c r="B98" t="s">
        <v>50</v>
      </c>
      <c r="C98">
        <v>9.6500000000000002E-2</v>
      </c>
      <c r="D98">
        <v>0.1807</v>
      </c>
      <c r="E98">
        <v>1.4883999999999999</v>
      </c>
      <c r="F98">
        <v>23.193200000000001</v>
      </c>
      <c r="G98">
        <v>6.0100000000000001E-2</v>
      </c>
      <c r="H98">
        <f>_xlfn.XLOOKUP(A98,candidatas_con_clusters__3[ticker],candidatas_con_clusters__3[cluster],"No encontrado")</f>
        <v>1</v>
      </c>
    </row>
    <row r="99" spans="1:8" x14ac:dyDescent="0.25">
      <c r="A99" t="s">
        <v>106</v>
      </c>
      <c r="B99" t="s">
        <v>50</v>
      </c>
      <c r="C99">
        <v>9.6100000000000005E-2</v>
      </c>
      <c r="D99">
        <v>0.17810000000000001</v>
      </c>
      <c r="E99">
        <v>0.87549999999999994</v>
      </c>
      <c r="F99">
        <v>6.4387999999999996</v>
      </c>
      <c r="G99">
        <v>0.57720000000000005</v>
      </c>
      <c r="H99">
        <f>_xlfn.XLOOKUP(A99,candidatas_con_clusters__3[ticker],candidatas_con_clusters__3[cluster],"No encontrado")</f>
        <v>3</v>
      </c>
    </row>
    <row r="100" spans="1:8" x14ac:dyDescent="0.25">
      <c r="A100" t="s">
        <v>107</v>
      </c>
      <c r="B100" t="s">
        <v>50</v>
      </c>
      <c r="C100">
        <v>8.8499999999999995E-2</v>
      </c>
      <c r="D100">
        <v>0.26619999999999999</v>
      </c>
      <c r="E100">
        <v>1.4370000000000001</v>
      </c>
      <c r="F100">
        <v>33.653300000000002</v>
      </c>
      <c r="G100">
        <v>1.8721000000000001</v>
      </c>
      <c r="H100">
        <f>_xlfn.XLOOKUP(A100,candidatas_con_clusters__3[ticker],candidatas_con_clusters__3[cluster],"No encontrado")</f>
        <v>2</v>
      </c>
    </row>
    <row r="101" spans="1:8" x14ac:dyDescent="0.25">
      <c r="A101" t="s">
        <v>108</v>
      </c>
      <c r="B101" t="s">
        <v>50</v>
      </c>
      <c r="C101">
        <v>8.7099999999999997E-2</v>
      </c>
      <c r="D101">
        <v>0.2487</v>
      </c>
      <c r="E101">
        <v>0.74139999999999995</v>
      </c>
      <c r="F101">
        <v>8.1342999999999996</v>
      </c>
      <c r="G101">
        <v>0.48060000000000003</v>
      </c>
      <c r="H101">
        <f>_xlfn.XLOOKUP(A101,candidatas_con_clusters__3[ticker],candidatas_con_clusters__3[cluster],"No encontrado")</f>
        <v>3</v>
      </c>
    </row>
    <row r="102" spans="1:8" x14ac:dyDescent="0.25">
      <c r="A102" t="s">
        <v>109</v>
      </c>
      <c r="B102" t="s">
        <v>50</v>
      </c>
      <c r="C102">
        <v>8.4400000000000003E-2</v>
      </c>
      <c r="D102">
        <v>0.15670000000000001</v>
      </c>
      <c r="E102">
        <v>0.65080000000000005</v>
      </c>
      <c r="F102">
        <v>16.1602</v>
      </c>
      <c r="G102">
        <v>0.32640000000000002</v>
      </c>
      <c r="H102">
        <f>_xlfn.XLOOKUP(A102,candidatas_con_clusters__3[ticker],candidatas_con_clusters__3[cluster],"No encontrado")</f>
        <v>3</v>
      </c>
    </row>
    <row r="103" spans="1:8" x14ac:dyDescent="0.25">
      <c r="A103" t="s">
        <v>110</v>
      </c>
      <c r="B103" t="s">
        <v>50</v>
      </c>
      <c r="C103">
        <v>8.3699999999999997E-2</v>
      </c>
      <c r="D103">
        <v>3.73E-2</v>
      </c>
      <c r="E103">
        <v>2.1432000000000002</v>
      </c>
      <c r="F103">
        <v>42.977800000000002</v>
      </c>
      <c r="G103">
        <v>4.7E-2</v>
      </c>
      <c r="H103">
        <f>_xlfn.XLOOKUP(A103,candidatas_con_clusters__3[ticker],candidatas_con_clusters__3[cluster],"No encontrado")</f>
        <v>1</v>
      </c>
    </row>
    <row r="104" spans="1:8" x14ac:dyDescent="0.25">
      <c r="A104" t="s">
        <v>111</v>
      </c>
      <c r="B104" t="s">
        <v>50</v>
      </c>
      <c r="C104">
        <v>7.46E-2</v>
      </c>
      <c r="D104">
        <v>7.7899999999999997E-2</v>
      </c>
      <c r="E104">
        <v>0.52290000000000003</v>
      </c>
      <c r="F104">
        <v>15.575100000000001</v>
      </c>
      <c r="G104">
        <v>0.98499999999999999</v>
      </c>
      <c r="H104">
        <f>_xlfn.XLOOKUP(A104,candidatas_con_clusters__3[ticker],candidatas_con_clusters__3[cluster],"No encontrado")</f>
        <v>3</v>
      </c>
    </row>
    <row r="105" spans="1:8" x14ac:dyDescent="0.25">
      <c r="A105" t="s">
        <v>112</v>
      </c>
      <c r="B105" t="s">
        <v>50</v>
      </c>
      <c r="C105">
        <v>7.1499999999999994E-2</v>
      </c>
      <c r="D105">
        <v>7.5899999999999995E-2</v>
      </c>
      <c r="E105">
        <v>0.62319999999999998</v>
      </c>
      <c r="F105">
        <v>13.7805</v>
      </c>
      <c r="G105">
        <v>5.7799999999999997E-2</v>
      </c>
      <c r="H105">
        <f>_xlfn.XLOOKUP(A105,candidatas_con_clusters__3[ticker],candidatas_con_clusters__3[cluster],"No encontrado")</f>
        <v>3</v>
      </c>
    </row>
    <row r="106" spans="1:8" x14ac:dyDescent="0.25">
      <c r="A106" t="s">
        <v>113</v>
      </c>
      <c r="B106" t="s">
        <v>50</v>
      </c>
      <c r="C106">
        <v>6.7100000000000007E-2</v>
      </c>
      <c r="D106">
        <v>0.1457</v>
      </c>
      <c r="E106">
        <v>2E-3</v>
      </c>
      <c r="F106">
        <v>20.2105</v>
      </c>
      <c r="G106">
        <v>8.6599999999999996E-2</v>
      </c>
      <c r="H106">
        <f>_xlfn.XLOOKUP(A106,candidatas_con_clusters__3[ticker],candidatas_con_clusters__3[cluster],"No encontrado")</f>
        <v>3</v>
      </c>
    </row>
    <row r="107" spans="1:8" x14ac:dyDescent="0.25">
      <c r="A107" t="s">
        <v>114</v>
      </c>
      <c r="B107" t="s">
        <v>50</v>
      </c>
      <c r="C107">
        <v>6.4600000000000005E-2</v>
      </c>
      <c r="D107">
        <v>0.13950000000000001</v>
      </c>
      <c r="E107">
        <v>0.77149999999999996</v>
      </c>
      <c r="F107">
        <v>10.191800000000001</v>
      </c>
      <c r="G107">
        <v>0.15809999999999999</v>
      </c>
      <c r="H107">
        <f>_xlfn.XLOOKUP(A107,candidatas_con_clusters__3[ticker],candidatas_con_clusters__3[cluster],"No encontrado")</f>
        <v>3</v>
      </c>
    </row>
    <row r="108" spans="1:8" x14ac:dyDescent="0.25">
      <c r="A108" t="s">
        <v>115</v>
      </c>
      <c r="B108" t="s">
        <v>50</v>
      </c>
      <c r="C108">
        <v>6.0400000000000002E-2</v>
      </c>
      <c r="D108">
        <v>6.3100000000000003E-2</v>
      </c>
      <c r="E108">
        <v>0.45150000000000001</v>
      </c>
      <c r="F108">
        <v>39.541699999999999</v>
      </c>
      <c r="G108">
        <v>0.1101</v>
      </c>
      <c r="H108">
        <f>_xlfn.XLOOKUP(A108,candidatas_con_clusters__3[ticker],candidatas_con_clusters__3[cluster],"No encontrado")</f>
        <v>0</v>
      </c>
    </row>
    <row r="109" spans="1:8" x14ac:dyDescent="0.25">
      <c r="A109" t="s">
        <v>116</v>
      </c>
      <c r="B109" t="s">
        <v>50</v>
      </c>
      <c r="C109">
        <v>6.0299999999999999E-2</v>
      </c>
      <c r="D109">
        <v>0.15740000000000001</v>
      </c>
      <c r="E109">
        <v>0.28939999999999999</v>
      </c>
      <c r="F109">
        <v>15.148400000000001</v>
      </c>
      <c r="G109">
        <v>0.3528</v>
      </c>
      <c r="H109">
        <f>_xlfn.XLOOKUP(A109,candidatas_con_clusters__3[ticker],candidatas_con_clusters__3[cluster],"No encontrado")</f>
        <v>3</v>
      </c>
    </row>
    <row r="110" spans="1:8" x14ac:dyDescent="0.25">
      <c r="A110" t="s">
        <v>117</v>
      </c>
      <c r="B110" t="s">
        <v>50</v>
      </c>
      <c r="C110">
        <v>5.91E-2</v>
      </c>
      <c r="D110">
        <v>0.22109999999999999</v>
      </c>
      <c r="E110">
        <v>0</v>
      </c>
      <c r="F110">
        <v>30.882400000000001</v>
      </c>
      <c r="G110">
        <v>2.6924000000000001</v>
      </c>
      <c r="H110">
        <f>_xlfn.XLOOKUP(A110,candidatas_con_clusters__3[ticker],candidatas_con_clusters__3[cluster],"No encontrado")</f>
        <v>2</v>
      </c>
    </row>
    <row r="111" spans="1:8" x14ac:dyDescent="0.25">
      <c r="A111" t="s">
        <v>118</v>
      </c>
      <c r="B111" t="s">
        <v>50</v>
      </c>
      <c r="C111">
        <v>5.8400000000000001E-2</v>
      </c>
      <c r="D111">
        <v>8.6599999999999996E-2</v>
      </c>
      <c r="E111">
        <v>0.34820000000000001</v>
      </c>
      <c r="F111">
        <v>12.178599999999999</v>
      </c>
      <c r="G111">
        <v>0.16350000000000001</v>
      </c>
      <c r="H111">
        <f>_xlfn.XLOOKUP(A111,candidatas_con_clusters__3[ticker],candidatas_con_clusters__3[cluster],"No encontrado")</f>
        <v>3</v>
      </c>
    </row>
    <row r="112" spans="1:8" x14ac:dyDescent="0.25">
      <c r="A112" t="s">
        <v>119</v>
      </c>
      <c r="B112" t="s">
        <v>50</v>
      </c>
      <c r="C112">
        <v>5.6000000000000001E-2</v>
      </c>
      <c r="D112">
        <v>5.11E-2</v>
      </c>
      <c r="E112">
        <v>0.33910000000000001</v>
      </c>
      <c r="F112">
        <v>14.8125</v>
      </c>
      <c r="G112">
        <v>0.17169999999999999</v>
      </c>
      <c r="H112">
        <f>_xlfn.XLOOKUP(A112,candidatas_con_clusters__3[ticker],candidatas_con_clusters__3[cluster],"No encontrado")</f>
        <v>3</v>
      </c>
    </row>
    <row r="113" spans="1:8" x14ac:dyDescent="0.25">
      <c r="A113" t="s">
        <v>120</v>
      </c>
      <c r="B113" t="s">
        <v>50</v>
      </c>
      <c r="C113">
        <v>5.2299999999999999E-2</v>
      </c>
      <c r="D113">
        <v>9.7699999999999995E-2</v>
      </c>
      <c r="E113">
        <v>0.56540000000000001</v>
      </c>
      <c r="F113">
        <v>17.119700000000002</v>
      </c>
      <c r="G113">
        <v>0.1535</v>
      </c>
      <c r="H113">
        <f>_xlfn.XLOOKUP(A113,candidatas_con_clusters__3[ticker],candidatas_con_clusters__3[cluster],"No encontrado")</f>
        <v>3</v>
      </c>
    </row>
    <row r="114" spans="1:8" x14ac:dyDescent="0.25">
      <c r="A114" t="s">
        <v>121</v>
      </c>
      <c r="B114" t="s">
        <v>50</v>
      </c>
      <c r="C114">
        <v>5.0099999999999999E-2</v>
      </c>
      <c r="D114">
        <v>0.1208</v>
      </c>
      <c r="E114">
        <v>0.28960000000000002</v>
      </c>
      <c r="F114">
        <v>22.059200000000001</v>
      </c>
      <c r="G114">
        <v>0.4446</v>
      </c>
      <c r="H114">
        <f>_xlfn.XLOOKUP(A114,candidatas_con_clusters__3[ticker],candidatas_con_clusters__3[cluster],"No encontrado")</f>
        <v>3</v>
      </c>
    </row>
    <row r="115" spans="1:8" x14ac:dyDescent="0.25">
      <c r="A115" t="s">
        <v>122</v>
      </c>
      <c r="B115" t="s">
        <v>123</v>
      </c>
      <c r="C115">
        <v>0.78449999999999998</v>
      </c>
      <c r="D115">
        <v>0.48620000000000002</v>
      </c>
      <c r="E115">
        <v>0.80410000000000004</v>
      </c>
      <c r="F115">
        <v>11.8566</v>
      </c>
      <c r="G115">
        <v>1.2219</v>
      </c>
      <c r="H115">
        <f>_xlfn.XLOOKUP(A115,candidatas_con_clusters__3[ticker],candidatas_con_clusters__3[cluster],"No encontrado")</f>
        <v>2</v>
      </c>
    </row>
    <row r="116" spans="1:8" x14ac:dyDescent="0.25">
      <c r="A116" t="s">
        <v>124</v>
      </c>
      <c r="B116" t="s">
        <v>123</v>
      </c>
      <c r="C116">
        <v>0.47</v>
      </c>
      <c r="D116">
        <v>0.1361</v>
      </c>
      <c r="E116">
        <v>0.62809999999999999</v>
      </c>
      <c r="F116">
        <v>25.8292</v>
      </c>
      <c r="G116">
        <v>4.4999999999999998E-2</v>
      </c>
      <c r="H116">
        <f>_xlfn.XLOOKUP(A116,candidatas_con_clusters__3[ticker],candidatas_con_clusters__3[cluster],"No encontrado")</f>
        <v>1</v>
      </c>
    </row>
    <row r="117" spans="1:8" x14ac:dyDescent="0.25">
      <c r="A117" t="s">
        <v>125</v>
      </c>
      <c r="B117" t="s">
        <v>123</v>
      </c>
      <c r="C117">
        <v>0.37009999999999998</v>
      </c>
      <c r="D117">
        <v>0.34920000000000001</v>
      </c>
      <c r="E117">
        <v>0.27289999999999998</v>
      </c>
      <c r="F117">
        <v>16.7165</v>
      </c>
      <c r="G117">
        <v>0.1356</v>
      </c>
      <c r="H117">
        <f>_xlfn.XLOOKUP(A117,candidatas_con_clusters__3[ticker],candidatas_con_clusters__3[cluster],"No encontrado")</f>
        <v>3</v>
      </c>
    </row>
    <row r="118" spans="1:8" x14ac:dyDescent="0.25">
      <c r="A118" t="s">
        <v>126</v>
      </c>
      <c r="B118" t="s">
        <v>123</v>
      </c>
      <c r="C118">
        <v>0.35489999999999999</v>
      </c>
      <c r="D118">
        <v>0.47460000000000002</v>
      </c>
      <c r="E118">
        <v>1.7600000000000001E-2</v>
      </c>
      <c r="F118">
        <v>13.6364</v>
      </c>
      <c r="G118">
        <v>0.13159999999999999</v>
      </c>
      <c r="H118">
        <f>_xlfn.XLOOKUP(A118,candidatas_con_clusters__3[ticker],candidatas_con_clusters__3[cluster],"No encontrado")</f>
        <v>2</v>
      </c>
    </row>
    <row r="119" spans="1:8" x14ac:dyDescent="0.25">
      <c r="A119" t="s">
        <v>127</v>
      </c>
      <c r="B119" t="s">
        <v>123</v>
      </c>
      <c r="C119">
        <v>0.33439999999999998</v>
      </c>
      <c r="D119">
        <v>0.29149999999999998</v>
      </c>
      <c r="E119">
        <v>0.46160000000000001</v>
      </c>
      <c r="F119">
        <v>23.589500000000001</v>
      </c>
      <c r="G119">
        <v>0.19620000000000001</v>
      </c>
      <c r="H119">
        <f>_xlfn.XLOOKUP(A119,candidatas_con_clusters__3[ticker],candidatas_con_clusters__3[cluster],"No encontrado")</f>
        <v>3</v>
      </c>
    </row>
    <row r="120" spans="1:8" x14ac:dyDescent="0.25">
      <c r="A120" t="s">
        <v>128</v>
      </c>
      <c r="B120" t="s">
        <v>123</v>
      </c>
      <c r="C120">
        <v>0.30649999999999999</v>
      </c>
      <c r="D120">
        <v>0.26069999999999999</v>
      </c>
      <c r="E120">
        <v>1.0531999999999999</v>
      </c>
      <c r="F120">
        <v>44.923699999999997</v>
      </c>
      <c r="G120">
        <v>0.1812</v>
      </c>
      <c r="H120">
        <f>_xlfn.XLOOKUP(A120,candidatas_con_clusters__3[ticker],candidatas_con_clusters__3[cluster],"No encontrado")</f>
        <v>0</v>
      </c>
    </row>
    <row r="121" spans="1:8" x14ac:dyDescent="0.25">
      <c r="A121" t="s">
        <v>129</v>
      </c>
      <c r="B121" t="s">
        <v>123</v>
      </c>
      <c r="C121">
        <v>0.27379999999999999</v>
      </c>
      <c r="D121">
        <v>0.26400000000000001</v>
      </c>
      <c r="E121">
        <v>0.1018</v>
      </c>
      <c r="F121">
        <v>18.3414</v>
      </c>
      <c r="G121">
        <v>0.15359999999999999</v>
      </c>
      <c r="H121">
        <f>_xlfn.XLOOKUP(A121,candidatas_con_clusters__3[ticker],candidatas_con_clusters__3[cluster],"No encontrado")</f>
        <v>3</v>
      </c>
    </row>
    <row r="122" spans="1:8" x14ac:dyDescent="0.25">
      <c r="A122" t="s">
        <v>130</v>
      </c>
      <c r="B122" t="s">
        <v>123</v>
      </c>
      <c r="C122">
        <v>0.27150000000000002</v>
      </c>
      <c r="D122">
        <v>0.30249999999999999</v>
      </c>
      <c r="E122">
        <v>5.3999999999999999E-2</v>
      </c>
      <c r="F122">
        <v>27.3309</v>
      </c>
      <c r="G122">
        <v>0.3997</v>
      </c>
      <c r="H122">
        <f>_xlfn.XLOOKUP(A122,candidatas_con_clusters__3[ticker],candidatas_con_clusters__3[cluster],"No encontrado")</f>
        <v>0</v>
      </c>
    </row>
    <row r="123" spans="1:8" x14ac:dyDescent="0.25">
      <c r="A123" t="s">
        <v>131</v>
      </c>
      <c r="B123" t="s">
        <v>123</v>
      </c>
      <c r="C123">
        <v>0.24979999999999999</v>
      </c>
      <c r="D123">
        <v>0.10979999999999999</v>
      </c>
      <c r="E123">
        <v>0.48670000000000002</v>
      </c>
      <c r="F123">
        <v>25.25</v>
      </c>
      <c r="G123">
        <v>8.6900000000000005E-2</v>
      </c>
      <c r="H123">
        <f>_xlfn.XLOOKUP(A123,candidatas_con_clusters__3[ticker],candidatas_con_clusters__3[cluster],"No encontrado")</f>
        <v>3</v>
      </c>
    </row>
    <row r="124" spans="1:8" x14ac:dyDescent="0.25">
      <c r="A124" t="s">
        <v>132</v>
      </c>
      <c r="B124" t="s">
        <v>123</v>
      </c>
      <c r="C124">
        <v>0.24970000000000001</v>
      </c>
      <c r="D124">
        <v>0.13239999999999999</v>
      </c>
      <c r="E124">
        <v>0.2707</v>
      </c>
      <c r="F124">
        <v>18.283799999999999</v>
      </c>
      <c r="G124">
        <v>3.6299999999999999E-2</v>
      </c>
      <c r="H124">
        <f>_xlfn.XLOOKUP(A124,candidatas_con_clusters__3[ticker],candidatas_con_clusters__3[cluster],"No encontrado")</f>
        <v>3</v>
      </c>
    </row>
    <row r="125" spans="1:8" x14ac:dyDescent="0.25">
      <c r="A125" t="s">
        <v>133</v>
      </c>
      <c r="B125" t="s">
        <v>123</v>
      </c>
      <c r="C125">
        <v>0.24510000000000001</v>
      </c>
      <c r="D125">
        <v>0.22639999999999999</v>
      </c>
      <c r="E125">
        <v>0</v>
      </c>
      <c r="F125">
        <v>16.703900000000001</v>
      </c>
      <c r="G125">
        <v>0.26910000000000001</v>
      </c>
      <c r="H125">
        <f>_xlfn.XLOOKUP(A125,candidatas_con_clusters__3[ticker],candidatas_con_clusters__3[cluster],"No encontrado")</f>
        <v>3</v>
      </c>
    </row>
    <row r="126" spans="1:8" x14ac:dyDescent="0.25">
      <c r="A126" t="s">
        <v>134</v>
      </c>
      <c r="B126" t="s">
        <v>123</v>
      </c>
      <c r="C126">
        <v>0.2369</v>
      </c>
      <c r="D126">
        <v>0.1628</v>
      </c>
      <c r="E126">
        <v>0.49270000000000003</v>
      </c>
      <c r="F126">
        <v>20.772200000000002</v>
      </c>
      <c r="G126">
        <v>3.15E-2</v>
      </c>
      <c r="H126">
        <f>_xlfn.XLOOKUP(A126,candidatas_con_clusters__3[ticker],candidatas_con_clusters__3[cluster],"No encontrado")</f>
        <v>3</v>
      </c>
    </row>
    <row r="127" spans="1:8" x14ac:dyDescent="0.25">
      <c r="A127" t="s">
        <v>135</v>
      </c>
      <c r="B127" t="s">
        <v>123</v>
      </c>
      <c r="C127">
        <v>0.23449999999999999</v>
      </c>
      <c r="D127">
        <v>0.14030000000000001</v>
      </c>
      <c r="E127">
        <v>0.78590000000000004</v>
      </c>
      <c r="F127">
        <v>18.566099999999999</v>
      </c>
      <c r="G127">
        <v>4.87E-2</v>
      </c>
      <c r="H127">
        <f>_xlfn.XLOOKUP(A127,candidatas_con_clusters__3[ticker],candidatas_con_clusters__3[cluster],"No encontrado")</f>
        <v>3</v>
      </c>
    </row>
    <row r="128" spans="1:8" x14ac:dyDescent="0.25">
      <c r="A128" t="s">
        <v>136</v>
      </c>
      <c r="B128" t="s">
        <v>123</v>
      </c>
      <c r="C128">
        <v>0.23169999999999999</v>
      </c>
      <c r="D128">
        <v>0.72140000000000004</v>
      </c>
      <c r="E128">
        <v>0</v>
      </c>
      <c r="F128">
        <v>21.047899999999998</v>
      </c>
      <c r="G128">
        <v>0.4894</v>
      </c>
      <c r="H128">
        <f>_xlfn.XLOOKUP(A128,candidatas_con_clusters__3[ticker],candidatas_con_clusters__3[cluster],"No encontrado")</f>
        <v>2</v>
      </c>
    </row>
    <row r="129" spans="1:8" x14ac:dyDescent="0.25">
      <c r="A129" t="s">
        <v>137</v>
      </c>
      <c r="B129" t="s">
        <v>123</v>
      </c>
      <c r="C129">
        <v>0.2281</v>
      </c>
      <c r="D129">
        <v>0.153</v>
      </c>
      <c r="E129">
        <v>0.23880000000000001</v>
      </c>
      <c r="F129">
        <v>11.623699999999999</v>
      </c>
      <c r="G129">
        <v>0.1774</v>
      </c>
      <c r="H129">
        <f>_xlfn.XLOOKUP(A129,candidatas_con_clusters__3[ticker],candidatas_con_clusters__3[cluster],"No encontrado")</f>
        <v>3</v>
      </c>
    </row>
    <row r="130" spans="1:8" x14ac:dyDescent="0.25">
      <c r="A130" t="s">
        <v>138</v>
      </c>
      <c r="B130" t="s">
        <v>123</v>
      </c>
      <c r="C130">
        <v>0.22</v>
      </c>
      <c r="D130">
        <v>6.8199999999999997E-2</v>
      </c>
      <c r="E130">
        <v>0.32679999999999998</v>
      </c>
      <c r="F130">
        <v>18.250399999999999</v>
      </c>
      <c r="G130">
        <v>3.04E-2</v>
      </c>
      <c r="H130">
        <f>_xlfn.XLOOKUP(A130,candidatas_con_clusters__3[ticker],candidatas_con_clusters__3[cluster],"No encontrado")</f>
        <v>3</v>
      </c>
    </row>
    <row r="131" spans="1:8" x14ac:dyDescent="0.25">
      <c r="A131" t="s">
        <v>139</v>
      </c>
      <c r="B131" t="s">
        <v>123</v>
      </c>
      <c r="C131">
        <v>0.2152</v>
      </c>
      <c r="D131">
        <v>0.3629</v>
      </c>
      <c r="E131">
        <v>0</v>
      </c>
      <c r="F131">
        <v>15.6092</v>
      </c>
      <c r="G131">
        <v>0.40639999999999998</v>
      </c>
      <c r="H131">
        <f>_xlfn.XLOOKUP(A131,candidatas_con_clusters__3[ticker],candidatas_con_clusters__3[cluster],"No encontrado")</f>
        <v>2</v>
      </c>
    </row>
    <row r="132" spans="1:8" x14ac:dyDescent="0.25">
      <c r="A132" t="s">
        <v>140</v>
      </c>
      <c r="B132" t="s">
        <v>123</v>
      </c>
      <c r="C132">
        <v>0.21179999999999999</v>
      </c>
      <c r="D132">
        <v>0.1946</v>
      </c>
      <c r="E132">
        <v>0</v>
      </c>
      <c r="F132">
        <v>31.9315</v>
      </c>
      <c r="G132">
        <v>0.1089</v>
      </c>
      <c r="H132">
        <f>_xlfn.XLOOKUP(A132,candidatas_con_clusters__3[ticker],candidatas_con_clusters__3[cluster],"No encontrado")</f>
        <v>0</v>
      </c>
    </row>
    <row r="133" spans="1:8" x14ac:dyDescent="0.25">
      <c r="A133" t="s">
        <v>141</v>
      </c>
      <c r="B133" t="s">
        <v>123</v>
      </c>
      <c r="C133">
        <v>0.20569999999999999</v>
      </c>
      <c r="D133">
        <v>0.51359999999999995</v>
      </c>
      <c r="E133">
        <v>0.76219999999999999</v>
      </c>
      <c r="F133">
        <v>21.605399999999999</v>
      </c>
      <c r="G133">
        <v>0.86060000000000003</v>
      </c>
      <c r="H133">
        <f>_xlfn.XLOOKUP(A133,candidatas_con_clusters__3[ticker],candidatas_con_clusters__3[cluster],"No encontrado")</f>
        <v>2</v>
      </c>
    </row>
    <row r="134" spans="1:8" x14ac:dyDescent="0.25">
      <c r="A134" t="s">
        <v>142</v>
      </c>
      <c r="B134" t="s">
        <v>123</v>
      </c>
      <c r="C134">
        <v>0.2001</v>
      </c>
      <c r="D134">
        <v>0.2571</v>
      </c>
      <c r="E134">
        <v>1.1915</v>
      </c>
      <c r="F134">
        <v>23.425000000000001</v>
      </c>
      <c r="G134">
        <v>7.4300000000000005E-2</v>
      </c>
      <c r="H134">
        <f>_xlfn.XLOOKUP(A134,candidatas_con_clusters__3[ticker],candidatas_con_clusters__3[cluster],"No encontrado")</f>
        <v>1</v>
      </c>
    </row>
    <row r="135" spans="1:8" x14ac:dyDescent="0.25">
      <c r="A135" t="s">
        <v>143</v>
      </c>
      <c r="B135" t="s">
        <v>123</v>
      </c>
      <c r="C135">
        <v>0.19900000000000001</v>
      </c>
      <c r="D135">
        <v>0.29409999999999997</v>
      </c>
      <c r="E135">
        <v>4.9799999999999997E-2</v>
      </c>
      <c r="F135">
        <v>55.731900000000003</v>
      </c>
      <c r="G135">
        <v>0.44</v>
      </c>
      <c r="H135">
        <f>_xlfn.XLOOKUP(A135,candidatas_con_clusters__3[ticker],candidatas_con_clusters__3[cluster],"No encontrado")</f>
        <v>0</v>
      </c>
    </row>
    <row r="136" spans="1:8" x14ac:dyDescent="0.25">
      <c r="A136" t="s">
        <v>144</v>
      </c>
      <c r="B136" t="s">
        <v>123</v>
      </c>
      <c r="C136">
        <v>0.1951</v>
      </c>
      <c r="D136">
        <v>6.0199999999999997E-2</v>
      </c>
      <c r="E136">
        <v>0.4758</v>
      </c>
      <c r="F136">
        <v>12.9122</v>
      </c>
      <c r="G136">
        <v>7.8299999999999995E-2</v>
      </c>
      <c r="H136">
        <f>_xlfn.XLOOKUP(A136,candidatas_con_clusters__3[ticker],candidatas_con_clusters__3[cluster],"No encontrado")</f>
        <v>3</v>
      </c>
    </row>
    <row r="137" spans="1:8" x14ac:dyDescent="0.25">
      <c r="A137" t="s">
        <v>145</v>
      </c>
      <c r="B137" t="s">
        <v>123</v>
      </c>
      <c r="C137">
        <v>0.19389999999999999</v>
      </c>
      <c r="D137">
        <v>0.20860000000000001</v>
      </c>
      <c r="E137">
        <v>3.8999999999999998E-3</v>
      </c>
      <c r="F137">
        <v>29.188199999999998</v>
      </c>
      <c r="G137">
        <v>0.81240000000000001</v>
      </c>
      <c r="H137">
        <f>_xlfn.XLOOKUP(A137,candidatas_con_clusters__3[ticker],candidatas_con_clusters__3[cluster],"No encontrado")</f>
        <v>0</v>
      </c>
    </row>
    <row r="138" spans="1:8" x14ac:dyDescent="0.25">
      <c r="A138" t="s">
        <v>146</v>
      </c>
      <c r="B138" t="s">
        <v>123</v>
      </c>
      <c r="C138">
        <v>0.19370000000000001</v>
      </c>
      <c r="D138">
        <v>0.1915</v>
      </c>
      <c r="E138">
        <v>0</v>
      </c>
      <c r="F138">
        <v>30.889500000000002</v>
      </c>
      <c r="G138">
        <v>0.1537</v>
      </c>
      <c r="H138">
        <f>_xlfn.XLOOKUP(A138,candidatas_con_clusters__3[ticker],candidatas_con_clusters__3[cluster],"No encontrado")</f>
        <v>0</v>
      </c>
    </row>
    <row r="139" spans="1:8" x14ac:dyDescent="0.25">
      <c r="A139" t="s">
        <v>147</v>
      </c>
      <c r="B139" t="s">
        <v>123</v>
      </c>
      <c r="C139">
        <v>0.1885</v>
      </c>
      <c r="D139">
        <v>9.7600000000000006E-2</v>
      </c>
      <c r="E139">
        <v>1.1491</v>
      </c>
      <c r="F139">
        <v>23.691199999999998</v>
      </c>
      <c r="G139">
        <v>0.1134</v>
      </c>
      <c r="H139">
        <f>_xlfn.XLOOKUP(A139,candidatas_con_clusters__3[ticker],candidatas_con_clusters__3[cluster],"No encontrado")</f>
        <v>1</v>
      </c>
    </row>
    <row r="140" spans="1:8" x14ac:dyDescent="0.25">
      <c r="A140" t="s">
        <v>148</v>
      </c>
      <c r="B140" t="s">
        <v>123</v>
      </c>
      <c r="C140">
        <v>0.18679999999999999</v>
      </c>
      <c r="D140">
        <v>0.19400000000000001</v>
      </c>
      <c r="E140">
        <v>0.2455</v>
      </c>
      <c r="F140">
        <v>18.160299999999999</v>
      </c>
      <c r="G140">
        <v>4.2299999999999997E-2</v>
      </c>
      <c r="H140">
        <f>_xlfn.XLOOKUP(A140,candidatas_con_clusters__3[ticker],candidatas_con_clusters__3[cluster],"No encontrado")</f>
        <v>3</v>
      </c>
    </row>
    <row r="141" spans="1:8" x14ac:dyDescent="0.25">
      <c r="A141" t="s">
        <v>149</v>
      </c>
      <c r="B141" t="s">
        <v>123</v>
      </c>
      <c r="C141">
        <v>0.18590000000000001</v>
      </c>
      <c r="D141">
        <v>0.1976</v>
      </c>
      <c r="E141">
        <v>0</v>
      </c>
      <c r="F141">
        <v>23.944400000000002</v>
      </c>
      <c r="G141">
        <v>6.6400000000000001E-2</v>
      </c>
      <c r="H141">
        <f>_xlfn.XLOOKUP(A141,candidatas_con_clusters__3[ticker],candidatas_con_clusters__3[cluster],"No encontrado")</f>
        <v>3</v>
      </c>
    </row>
    <row r="142" spans="1:8" x14ac:dyDescent="0.25">
      <c r="A142" t="s">
        <v>150</v>
      </c>
      <c r="B142" t="s">
        <v>123</v>
      </c>
      <c r="C142">
        <v>0.18149999999999999</v>
      </c>
      <c r="D142">
        <v>0.1147</v>
      </c>
      <c r="E142">
        <v>0</v>
      </c>
      <c r="F142">
        <v>18.210699999999999</v>
      </c>
      <c r="G142">
        <v>0.12520000000000001</v>
      </c>
      <c r="H142">
        <f>_xlfn.XLOOKUP(A142,candidatas_con_clusters__3[ticker],candidatas_con_clusters__3[cluster],"No encontrado")</f>
        <v>3</v>
      </c>
    </row>
    <row r="143" spans="1:8" x14ac:dyDescent="0.25">
      <c r="A143" t="s">
        <v>151</v>
      </c>
      <c r="B143" t="s">
        <v>123</v>
      </c>
      <c r="C143">
        <v>0.1812</v>
      </c>
      <c r="D143">
        <v>8.5000000000000006E-2</v>
      </c>
      <c r="E143">
        <v>1.0742</v>
      </c>
      <c r="F143">
        <v>17.893899999999999</v>
      </c>
      <c r="G143">
        <v>3.5000000000000003E-2</v>
      </c>
      <c r="H143">
        <f>_xlfn.XLOOKUP(A143,candidatas_con_clusters__3[ticker],candidatas_con_clusters__3[cluster],"No encontrado")</f>
        <v>1</v>
      </c>
    </row>
    <row r="144" spans="1:8" x14ac:dyDescent="0.25">
      <c r="A144" t="s">
        <v>152</v>
      </c>
      <c r="B144" t="s">
        <v>123</v>
      </c>
      <c r="C144">
        <v>0.1769</v>
      </c>
      <c r="D144">
        <v>0.1401</v>
      </c>
      <c r="E144">
        <v>1.6374</v>
      </c>
      <c r="F144">
        <v>20.343499999999999</v>
      </c>
      <c r="G144">
        <v>7.7100000000000002E-2</v>
      </c>
      <c r="H144">
        <f>_xlfn.XLOOKUP(A144,candidatas_con_clusters__3[ticker],candidatas_con_clusters__3[cluster],"No encontrado")</f>
        <v>1</v>
      </c>
    </row>
    <row r="145" spans="1:8" x14ac:dyDescent="0.25">
      <c r="A145" t="s">
        <v>153</v>
      </c>
      <c r="B145" t="s">
        <v>123</v>
      </c>
      <c r="C145">
        <v>0.158</v>
      </c>
      <c r="D145">
        <v>0.19500000000000001</v>
      </c>
      <c r="E145">
        <v>0</v>
      </c>
      <c r="F145">
        <v>24.255099999999999</v>
      </c>
      <c r="G145">
        <v>9.1899999999999996E-2</v>
      </c>
      <c r="H145">
        <f>_xlfn.XLOOKUP(A145,candidatas_con_clusters__3[ticker],candidatas_con_clusters__3[cluster],"No encontrado")</f>
        <v>3</v>
      </c>
    </row>
    <row r="146" spans="1:8" x14ac:dyDescent="0.25">
      <c r="A146" t="s">
        <v>154</v>
      </c>
      <c r="B146" t="s">
        <v>123</v>
      </c>
      <c r="C146">
        <v>0.14599999999999999</v>
      </c>
      <c r="D146">
        <v>6.6500000000000004E-2</v>
      </c>
      <c r="E146">
        <v>0.87760000000000005</v>
      </c>
      <c r="F146">
        <v>20.155799999999999</v>
      </c>
      <c r="G146">
        <v>0.11360000000000001</v>
      </c>
      <c r="H146">
        <f>_xlfn.XLOOKUP(A146,candidatas_con_clusters__3[ticker],candidatas_con_clusters__3[cluster],"No encontrado")</f>
        <v>3</v>
      </c>
    </row>
    <row r="147" spans="1:8" x14ac:dyDescent="0.25">
      <c r="A147" t="s">
        <v>155</v>
      </c>
      <c r="B147" t="s">
        <v>123</v>
      </c>
      <c r="C147">
        <v>0.1401</v>
      </c>
      <c r="D147">
        <v>0.13009999999999999</v>
      </c>
      <c r="E147">
        <v>0.25119999999999998</v>
      </c>
      <c r="F147">
        <v>20.531099999999999</v>
      </c>
      <c r="G147">
        <v>0.1323</v>
      </c>
      <c r="H147">
        <f>_xlfn.XLOOKUP(A147,candidatas_con_clusters__3[ticker],candidatas_con_clusters__3[cluster],"No encontrado")</f>
        <v>3</v>
      </c>
    </row>
    <row r="148" spans="1:8" x14ac:dyDescent="0.25">
      <c r="A148" t="s">
        <v>156</v>
      </c>
      <c r="B148" t="s">
        <v>123</v>
      </c>
      <c r="C148">
        <v>0.1399</v>
      </c>
      <c r="D148">
        <v>5.6500000000000002E-2</v>
      </c>
      <c r="E148">
        <v>1.6282000000000001</v>
      </c>
      <c r="F148">
        <v>22.211099999999998</v>
      </c>
      <c r="G148">
        <v>8.7599999999999997E-2</v>
      </c>
      <c r="H148">
        <f>_xlfn.XLOOKUP(A148,candidatas_con_clusters__3[ticker],candidatas_con_clusters__3[cluster],"No encontrado")</f>
        <v>1</v>
      </c>
    </row>
    <row r="149" spans="1:8" x14ac:dyDescent="0.25">
      <c r="A149" t="s">
        <v>157</v>
      </c>
      <c r="B149" t="s">
        <v>123</v>
      </c>
      <c r="C149">
        <v>0.13950000000000001</v>
      </c>
      <c r="D149">
        <v>0.31009999999999999</v>
      </c>
      <c r="E149">
        <v>1.6299999999999999E-2</v>
      </c>
      <c r="F149">
        <v>30.754200000000001</v>
      </c>
      <c r="G149">
        <v>0.15190000000000001</v>
      </c>
      <c r="H149">
        <f>_xlfn.XLOOKUP(A149,candidatas_con_clusters__3[ticker],candidatas_con_clusters__3[cluster],"No encontrado")</f>
        <v>0</v>
      </c>
    </row>
    <row r="150" spans="1:8" x14ac:dyDescent="0.25">
      <c r="A150" t="s">
        <v>158</v>
      </c>
      <c r="B150" t="s">
        <v>123</v>
      </c>
      <c r="C150">
        <v>0.1328</v>
      </c>
      <c r="D150">
        <v>8.9399999999999993E-2</v>
      </c>
      <c r="E150">
        <v>0.35060000000000002</v>
      </c>
      <c r="F150">
        <v>29.742999999999999</v>
      </c>
      <c r="G150">
        <v>3.8699999999999998E-2</v>
      </c>
      <c r="H150">
        <f>_xlfn.XLOOKUP(A150,candidatas_con_clusters__3[ticker],candidatas_con_clusters__3[cluster],"No encontrado")</f>
        <v>0</v>
      </c>
    </row>
    <row r="151" spans="1:8" x14ac:dyDescent="0.25">
      <c r="A151" t="s">
        <v>159</v>
      </c>
      <c r="B151" t="s">
        <v>123</v>
      </c>
      <c r="C151">
        <v>0.1308</v>
      </c>
      <c r="D151">
        <v>6.2700000000000006E-2</v>
      </c>
      <c r="E151">
        <v>0.24349999999999999</v>
      </c>
      <c r="F151">
        <v>26.726099999999999</v>
      </c>
      <c r="G151">
        <v>0.15529999999999999</v>
      </c>
      <c r="H151">
        <f>_xlfn.XLOOKUP(A151,candidatas_con_clusters__3[ticker],candidatas_con_clusters__3[cluster],"No encontrado")</f>
        <v>3</v>
      </c>
    </row>
    <row r="152" spans="1:8" x14ac:dyDescent="0.25">
      <c r="A152" t="s">
        <v>160</v>
      </c>
      <c r="B152" t="s">
        <v>123</v>
      </c>
      <c r="C152">
        <v>0.1293</v>
      </c>
      <c r="D152">
        <v>7.4800000000000005E-2</v>
      </c>
      <c r="E152">
        <v>0.87</v>
      </c>
      <c r="F152">
        <v>17.5091</v>
      </c>
      <c r="G152">
        <v>4.0399999999999998E-2</v>
      </c>
      <c r="H152">
        <f>_xlfn.XLOOKUP(A152,candidatas_con_clusters__3[ticker],candidatas_con_clusters__3[cluster],"No encontrado")</f>
        <v>3</v>
      </c>
    </row>
    <row r="153" spans="1:8" x14ac:dyDescent="0.25">
      <c r="A153" t="s">
        <v>161</v>
      </c>
      <c r="B153" t="s">
        <v>123</v>
      </c>
      <c r="C153">
        <v>0.1255</v>
      </c>
      <c r="D153">
        <v>0.40250000000000002</v>
      </c>
      <c r="E153">
        <v>0</v>
      </c>
      <c r="F153">
        <v>24.689699999999998</v>
      </c>
      <c r="G153">
        <v>0.48049999999999998</v>
      </c>
      <c r="H153">
        <f>_xlfn.XLOOKUP(A153,candidatas_con_clusters__3[ticker],candidatas_con_clusters__3[cluster],"No encontrado")</f>
        <v>2</v>
      </c>
    </row>
    <row r="154" spans="1:8" x14ac:dyDescent="0.25">
      <c r="A154" t="s">
        <v>162</v>
      </c>
      <c r="B154" t="s">
        <v>123</v>
      </c>
      <c r="C154">
        <v>0.124</v>
      </c>
      <c r="D154">
        <v>0.1085</v>
      </c>
      <c r="E154">
        <v>0.42199999999999999</v>
      </c>
      <c r="F154">
        <v>32.745100000000001</v>
      </c>
      <c r="G154">
        <v>6.1100000000000002E-2</v>
      </c>
      <c r="H154">
        <f>_xlfn.XLOOKUP(A154,candidatas_con_clusters__3[ticker],candidatas_con_clusters__3[cluster],"No encontrado")</f>
        <v>0</v>
      </c>
    </row>
    <row r="155" spans="1:8" x14ac:dyDescent="0.25">
      <c r="A155" t="s">
        <v>163</v>
      </c>
      <c r="B155" t="s">
        <v>123</v>
      </c>
      <c r="C155">
        <v>0.122</v>
      </c>
      <c r="D155">
        <v>0.17199999999999999</v>
      </c>
      <c r="E155">
        <v>0</v>
      </c>
      <c r="F155">
        <v>19.9574</v>
      </c>
      <c r="G155">
        <v>6.3500000000000001E-2</v>
      </c>
      <c r="H155">
        <f>_xlfn.XLOOKUP(A155,candidatas_con_clusters__3[ticker],candidatas_con_clusters__3[cluster],"No encontrado")</f>
        <v>3</v>
      </c>
    </row>
    <row r="156" spans="1:8" x14ac:dyDescent="0.25">
      <c r="A156" t="s">
        <v>164</v>
      </c>
      <c r="B156" t="s">
        <v>123</v>
      </c>
      <c r="C156">
        <v>0.11849999999999999</v>
      </c>
      <c r="D156">
        <v>8.8499999999999995E-2</v>
      </c>
      <c r="E156">
        <v>0.22040000000000001</v>
      </c>
      <c r="F156">
        <v>31.933299999999999</v>
      </c>
      <c r="G156">
        <v>0.14990000000000001</v>
      </c>
      <c r="H156">
        <f>_xlfn.XLOOKUP(A156,candidatas_con_clusters__3[ticker],candidatas_con_clusters__3[cluster],"No encontrado")</f>
        <v>0</v>
      </c>
    </row>
    <row r="157" spans="1:8" x14ac:dyDescent="0.25">
      <c r="A157" t="s">
        <v>165</v>
      </c>
      <c r="B157" t="s">
        <v>123</v>
      </c>
      <c r="C157">
        <v>0.11070000000000001</v>
      </c>
      <c r="D157">
        <v>6.6000000000000003E-2</v>
      </c>
      <c r="E157">
        <v>1.0024</v>
      </c>
      <c r="F157">
        <v>21.4682</v>
      </c>
      <c r="G157">
        <v>8.3599999999999994E-2</v>
      </c>
      <c r="H157">
        <f>_xlfn.XLOOKUP(A157,candidatas_con_clusters__3[ticker],candidatas_con_clusters__3[cluster],"No encontrado")</f>
        <v>3</v>
      </c>
    </row>
    <row r="158" spans="1:8" x14ac:dyDescent="0.25">
      <c r="A158" t="s">
        <v>166</v>
      </c>
      <c r="B158" t="s">
        <v>123</v>
      </c>
      <c r="C158">
        <v>0.105</v>
      </c>
      <c r="D158">
        <v>0.15709999999999999</v>
      </c>
      <c r="E158">
        <v>0.53790000000000004</v>
      </c>
      <c r="F158">
        <v>29.215699999999998</v>
      </c>
      <c r="G158">
        <v>8.1900000000000001E-2</v>
      </c>
      <c r="H158">
        <f>_xlfn.XLOOKUP(A158,candidatas_con_clusters__3[ticker],candidatas_con_clusters__3[cluster],"No encontrado")</f>
        <v>0</v>
      </c>
    </row>
    <row r="159" spans="1:8" x14ac:dyDescent="0.25">
      <c r="A159" t="s">
        <v>167</v>
      </c>
      <c r="B159" t="s">
        <v>123</v>
      </c>
      <c r="C159">
        <v>0.1036</v>
      </c>
      <c r="D159">
        <v>0.1356</v>
      </c>
      <c r="E159">
        <v>0.31369999999999998</v>
      </c>
      <c r="F159">
        <v>23.965</v>
      </c>
      <c r="G159">
        <v>3.95E-2</v>
      </c>
      <c r="H159">
        <f>_xlfn.XLOOKUP(A159,candidatas_con_clusters__3[ticker],candidatas_con_clusters__3[cluster],"No encontrado")</f>
        <v>3</v>
      </c>
    </row>
    <row r="160" spans="1:8" x14ac:dyDescent="0.25">
      <c r="A160" t="s">
        <v>168</v>
      </c>
      <c r="B160" t="s">
        <v>123</v>
      </c>
      <c r="C160">
        <v>9.8199999999999996E-2</v>
      </c>
      <c r="D160">
        <v>0.10199999999999999</v>
      </c>
      <c r="E160">
        <v>0.55900000000000005</v>
      </c>
      <c r="F160">
        <v>25.290700000000001</v>
      </c>
      <c r="G160">
        <v>8.4599999999999995E-2</v>
      </c>
      <c r="H160">
        <f>_xlfn.XLOOKUP(A160,candidatas_con_clusters__3[ticker],candidatas_con_clusters__3[cluster],"No encontrado")</f>
        <v>3</v>
      </c>
    </row>
    <row r="161" spans="1:8" x14ac:dyDescent="0.25">
      <c r="A161" t="s">
        <v>169</v>
      </c>
      <c r="B161" t="s">
        <v>123</v>
      </c>
      <c r="C161">
        <v>9.8100000000000007E-2</v>
      </c>
      <c r="D161">
        <v>0.13100000000000001</v>
      </c>
      <c r="E161">
        <v>0</v>
      </c>
      <c r="F161">
        <v>56.087000000000003</v>
      </c>
      <c r="G161">
        <v>0.38030000000000003</v>
      </c>
      <c r="H161">
        <f>_xlfn.XLOOKUP(A161,candidatas_con_clusters__3[ticker],candidatas_con_clusters__3[cluster],"No encontrado")</f>
        <v>0</v>
      </c>
    </row>
    <row r="162" spans="1:8" x14ac:dyDescent="0.25">
      <c r="A162" t="s">
        <v>170</v>
      </c>
      <c r="B162" t="s">
        <v>123</v>
      </c>
      <c r="C162">
        <v>9.4299999999999995E-2</v>
      </c>
      <c r="D162">
        <v>8.2699999999999996E-2</v>
      </c>
      <c r="E162">
        <v>1.2255</v>
      </c>
      <c r="F162">
        <v>40.5364</v>
      </c>
      <c r="G162">
        <v>0.40820000000000001</v>
      </c>
      <c r="H162">
        <f>_xlfn.XLOOKUP(A162,candidatas_con_clusters__3[ticker],candidatas_con_clusters__3[cluster],"No encontrado")</f>
        <v>0</v>
      </c>
    </row>
    <row r="163" spans="1:8" x14ac:dyDescent="0.25">
      <c r="A163" t="s">
        <v>171</v>
      </c>
      <c r="B163" t="s">
        <v>123</v>
      </c>
      <c r="C163">
        <v>9.2200000000000004E-2</v>
      </c>
      <c r="D163">
        <v>0.11219999999999999</v>
      </c>
      <c r="E163">
        <v>0.70879999999999999</v>
      </c>
      <c r="F163">
        <v>26.321400000000001</v>
      </c>
      <c r="G163">
        <v>0.29020000000000001</v>
      </c>
      <c r="H163">
        <f>_xlfn.XLOOKUP(A163,candidatas_con_clusters__3[ticker],candidatas_con_clusters__3[cluster],"No encontrado")</f>
        <v>3</v>
      </c>
    </row>
    <row r="164" spans="1:8" x14ac:dyDescent="0.25">
      <c r="A164" t="s">
        <v>172</v>
      </c>
      <c r="B164" t="s">
        <v>123</v>
      </c>
      <c r="C164">
        <v>9.1899999999999996E-2</v>
      </c>
      <c r="D164">
        <v>0.1138</v>
      </c>
      <c r="E164">
        <v>0</v>
      </c>
      <c r="F164">
        <v>48.022300000000001</v>
      </c>
      <c r="G164">
        <v>0.19220000000000001</v>
      </c>
      <c r="H164">
        <f>_xlfn.XLOOKUP(A164,candidatas_con_clusters__3[ticker],candidatas_con_clusters__3[cluster],"No encontrado")</f>
        <v>0</v>
      </c>
    </row>
    <row r="165" spans="1:8" x14ac:dyDescent="0.25">
      <c r="A165" t="s">
        <v>173</v>
      </c>
      <c r="B165" t="s">
        <v>123</v>
      </c>
      <c r="C165">
        <v>9.1899999999999996E-2</v>
      </c>
      <c r="D165">
        <v>0.2303</v>
      </c>
      <c r="E165">
        <v>0.58379999999999999</v>
      </c>
      <c r="F165">
        <v>15.5099</v>
      </c>
      <c r="G165">
        <v>9.2700000000000005E-2</v>
      </c>
      <c r="H165">
        <f>_xlfn.XLOOKUP(A165,candidatas_con_clusters__3[ticker],candidatas_con_clusters__3[cluster],"No encontrado")</f>
        <v>3</v>
      </c>
    </row>
    <row r="166" spans="1:8" x14ac:dyDescent="0.25">
      <c r="A166" t="s">
        <v>174</v>
      </c>
      <c r="B166" t="s">
        <v>123</v>
      </c>
      <c r="C166">
        <v>8.7400000000000005E-2</v>
      </c>
      <c r="D166">
        <v>0.1641</v>
      </c>
      <c r="E166">
        <v>0</v>
      </c>
      <c r="F166">
        <v>23.0395</v>
      </c>
      <c r="G166">
        <v>0.1497</v>
      </c>
      <c r="H166">
        <f>_xlfn.XLOOKUP(A166,candidatas_con_clusters__3[ticker],candidatas_con_clusters__3[cluster],"No encontrado")</f>
        <v>3</v>
      </c>
    </row>
    <row r="167" spans="1:8" x14ac:dyDescent="0.25">
      <c r="A167" t="s">
        <v>175</v>
      </c>
      <c r="B167" t="s">
        <v>123</v>
      </c>
      <c r="C167">
        <v>8.5199999999999998E-2</v>
      </c>
      <c r="D167">
        <v>8.1699999999999995E-2</v>
      </c>
      <c r="E167">
        <v>0</v>
      </c>
      <c r="F167">
        <v>35.578899999999997</v>
      </c>
      <c r="G167">
        <v>0.15060000000000001</v>
      </c>
      <c r="H167">
        <f>_xlfn.XLOOKUP(A167,candidatas_con_clusters__3[ticker],candidatas_con_clusters__3[cluster],"No encontrado")</f>
        <v>0</v>
      </c>
    </row>
    <row r="168" spans="1:8" x14ac:dyDescent="0.25">
      <c r="A168" t="s">
        <v>176</v>
      </c>
      <c r="B168" t="s">
        <v>177</v>
      </c>
      <c r="C168">
        <v>0.45050000000000001</v>
      </c>
      <c r="D168">
        <v>0.1666</v>
      </c>
      <c r="E168">
        <v>0</v>
      </c>
      <c r="F168">
        <v>37.357799999999997</v>
      </c>
      <c r="G168">
        <v>0.18720000000000001</v>
      </c>
      <c r="H168">
        <f>_xlfn.XLOOKUP(A168,candidatas_con_clusters__3[ticker],candidatas_con_clusters__3[cluster],"No encontrado")</f>
        <v>0</v>
      </c>
    </row>
    <row r="169" spans="1:8" x14ac:dyDescent="0.25">
      <c r="A169" t="s">
        <v>178</v>
      </c>
      <c r="B169" t="s">
        <v>177</v>
      </c>
      <c r="C169">
        <v>0.40029999999999999</v>
      </c>
      <c r="D169">
        <v>0.36030000000000001</v>
      </c>
      <c r="E169">
        <v>0.91800000000000004</v>
      </c>
      <c r="F169">
        <v>11.9968</v>
      </c>
      <c r="G169">
        <v>0.1028</v>
      </c>
      <c r="H169">
        <f>_xlfn.XLOOKUP(A169,candidatas_con_clusters__3[ticker],candidatas_con_clusters__3[cluster],"No encontrado")</f>
        <v>1</v>
      </c>
    </row>
    <row r="170" spans="1:8" x14ac:dyDescent="0.25">
      <c r="A170" t="s">
        <v>179</v>
      </c>
      <c r="B170" t="s">
        <v>177</v>
      </c>
      <c r="C170">
        <v>0.37509999999999999</v>
      </c>
      <c r="D170">
        <v>0.14349999999999999</v>
      </c>
      <c r="E170">
        <v>0</v>
      </c>
      <c r="F170">
        <v>30.491499999999998</v>
      </c>
      <c r="G170">
        <v>9.1499999999999998E-2</v>
      </c>
      <c r="H170">
        <f>_xlfn.XLOOKUP(A170,candidatas_con_clusters__3[ticker],candidatas_con_clusters__3[cluster],"No encontrado")</f>
        <v>0</v>
      </c>
    </row>
    <row r="171" spans="1:8" x14ac:dyDescent="0.25">
      <c r="A171" t="s">
        <v>180</v>
      </c>
      <c r="B171" t="s">
        <v>177</v>
      </c>
      <c r="C171">
        <v>0.35420000000000001</v>
      </c>
      <c r="D171">
        <v>0.21609999999999999</v>
      </c>
      <c r="E171">
        <v>0.31640000000000001</v>
      </c>
      <c r="F171">
        <v>15.4253</v>
      </c>
      <c r="G171">
        <v>6.9500000000000006E-2</v>
      </c>
      <c r="H171">
        <f>_xlfn.XLOOKUP(A171,candidatas_con_clusters__3[ticker],candidatas_con_clusters__3[cluster],"No encontrado")</f>
        <v>3</v>
      </c>
    </row>
    <row r="172" spans="1:8" x14ac:dyDescent="0.25">
      <c r="A172" t="s">
        <v>181</v>
      </c>
      <c r="B172" t="s">
        <v>177</v>
      </c>
      <c r="C172">
        <v>0.34449999999999997</v>
      </c>
      <c r="D172">
        <v>0.28939999999999999</v>
      </c>
      <c r="E172">
        <v>0.79220000000000002</v>
      </c>
      <c r="F172">
        <v>20.985700000000001</v>
      </c>
      <c r="G172">
        <v>0.97560000000000002</v>
      </c>
      <c r="H172">
        <f>_xlfn.XLOOKUP(A172,candidatas_con_clusters__3[ticker],candidatas_con_clusters__3[cluster],"No encontrado")</f>
        <v>2</v>
      </c>
    </row>
    <row r="173" spans="1:8" x14ac:dyDescent="0.25">
      <c r="A173" t="s">
        <v>182</v>
      </c>
      <c r="B173" t="s">
        <v>177</v>
      </c>
      <c r="C173">
        <v>0.33550000000000002</v>
      </c>
      <c r="D173">
        <v>0.1671</v>
      </c>
      <c r="E173">
        <v>0</v>
      </c>
      <c r="F173">
        <v>15.2</v>
      </c>
      <c r="G173">
        <v>7.0300000000000001E-2</v>
      </c>
      <c r="H173">
        <f>_xlfn.XLOOKUP(A173,candidatas_con_clusters__3[ticker],candidatas_con_clusters__3[cluster],"No encontrado")</f>
        <v>3</v>
      </c>
    </row>
    <row r="174" spans="1:8" x14ac:dyDescent="0.25">
      <c r="A174" t="s">
        <v>183</v>
      </c>
      <c r="B174" t="s">
        <v>177</v>
      </c>
      <c r="C174">
        <v>0.31490000000000001</v>
      </c>
      <c r="D174">
        <v>0.61140000000000005</v>
      </c>
      <c r="E174">
        <v>0</v>
      </c>
      <c r="F174">
        <v>11.071199999999999</v>
      </c>
      <c r="G174">
        <v>0.65159999999999996</v>
      </c>
      <c r="H174">
        <f>_xlfn.XLOOKUP(A174,candidatas_con_clusters__3[ticker],candidatas_con_clusters__3[cluster],"No encontrado")</f>
        <v>2</v>
      </c>
    </row>
    <row r="175" spans="1:8" x14ac:dyDescent="0.25">
      <c r="A175" t="s">
        <v>184</v>
      </c>
      <c r="B175" t="s">
        <v>177</v>
      </c>
      <c r="C175">
        <v>0.29470000000000002</v>
      </c>
      <c r="D175">
        <v>0.21379999999999999</v>
      </c>
      <c r="E175">
        <v>0.16209999999999999</v>
      </c>
      <c r="F175">
        <v>25.776700000000002</v>
      </c>
      <c r="G175">
        <v>7.5300000000000006E-2</v>
      </c>
      <c r="H175">
        <f>_xlfn.XLOOKUP(A175,candidatas_con_clusters__3[ticker],candidatas_con_clusters__3[cluster],"No encontrado")</f>
        <v>3</v>
      </c>
    </row>
    <row r="176" spans="1:8" x14ac:dyDescent="0.25">
      <c r="A176" t="s">
        <v>185</v>
      </c>
      <c r="B176" t="s">
        <v>177</v>
      </c>
      <c r="C176">
        <v>0.28299999999999997</v>
      </c>
      <c r="D176">
        <v>0.18609999999999999</v>
      </c>
      <c r="E176">
        <v>0.61140000000000005</v>
      </c>
      <c r="F176">
        <v>11.4321</v>
      </c>
      <c r="G176">
        <v>0.80289999999999995</v>
      </c>
      <c r="H176">
        <f>_xlfn.XLOOKUP(A176,candidatas_con_clusters__3[ticker],candidatas_con_clusters__3[cluster],"No encontrado")</f>
        <v>2</v>
      </c>
    </row>
    <row r="177" spans="1:8" x14ac:dyDescent="0.25">
      <c r="A177" t="s">
        <v>186</v>
      </c>
      <c r="B177" t="s">
        <v>177</v>
      </c>
      <c r="C177">
        <v>0.27150000000000002</v>
      </c>
      <c r="D177">
        <v>0.21629999999999999</v>
      </c>
      <c r="E177">
        <v>0.44569999999999999</v>
      </c>
      <c r="F177">
        <v>20.486599999999999</v>
      </c>
      <c r="G177">
        <v>6.88E-2</v>
      </c>
      <c r="H177">
        <f>_xlfn.XLOOKUP(A177,candidatas_con_clusters__3[ticker],candidatas_con_clusters__3[cluster],"No encontrado")</f>
        <v>3</v>
      </c>
    </row>
    <row r="178" spans="1:8" x14ac:dyDescent="0.25">
      <c r="A178" t="s">
        <v>187</v>
      </c>
      <c r="B178" t="s">
        <v>177</v>
      </c>
      <c r="C178">
        <v>0.25840000000000002</v>
      </c>
      <c r="D178">
        <v>0.26900000000000002</v>
      </c>
      <c r="E178">
        <v>0.50490000000000002</v>
      </c>
      <c r="F178">
        <v>37.666699999999999</v>
      </c>
      <c r="G178">
        <v>0.50380000000000003</v>
      </c>
      <c r="H178">
        <f>_xlfn.XLOOKUP(A178,candidatas_con_clusters__3[ticker],candidatas_con_clusters__3[cluster],"No encontrado")</f>
        <v>0</v>
      </c>
    </row>
    <row r="179" spans="1:8" x14ac:dyDescent="0.25">
      <c r="A179" t="s">
        <v>188</v>
      </c>
      <c r="B179" t="s">
        <v>177</v>
      </c>
      <c r="C179">
        <v>0.24879999999999999</v>
      </c>
      <c r="D179">
        <v>0.33339999999999997</v>
      </c>
      <c r="E179">
        <v>0.2452</v>
      </c>
      <c r="F179">
        <v>14.4695</v>
      </c>
      <c r="G179">
        <v>0.20319999999999999</v>
      </c>
      <c r="H179">
        <f>_xlfn.XLOOKUP(A179,candidatas_con_clusters__3[ticker],candidatas_con_clusters__3[cluster],"No encontrado")</f>
        <v>3</v>
      </c>
    </row>
    <row r="180" spans="1:8" x14ac:dyDescent="0.25">
      <c r="A180" t="s">
        <v>189</v>
      </c>
      <c r="B180" t="s">
        <v>177</v>
      </c>
      <c r="C180">
        <v>0.24590000000000001</v>
      </c>
      <c r="D180">
        <v>0.25419999999999998</v>
      </c>
      <c r="E180">
        <v>0.25219999999999998</v>
      </c>
      <c r="F180">
        <v>15.6767</v>
      </c>
      <c r="G180">
        <v>0.1154</v>
      </c>
      <c r="H180">
        <f>_xlfn.XLOOKUP(A180,candidatas_con_clusters__3[ticker],candidatas_con_clusters__3[cluster],"No encontrado")</f>
        <v>3</v>
      </c>
    </row>
    <row r="181" spans="1:8" x14ac:dyDescent="0.25">
      <c r="A181" t="s">
        <v>190</v>
      </c>
      <c r="B181" t="s">
        <v>177</v>
      </c>
      <c r="C181">
        <v>0.2452</v>
      </c>
      <c r="D181">
        <v>0.1244</v>
      </c>
      <c r="E181">
        <v>0.1225</v>
      </c>
      <c r="F181">
        <v>11.419</v>
      </c>
      <c r="G181">
        <v>0.48670000000000002</v>
      </c>
      <c r="H181">
        <f>_xlfn.XLOOKUP(A181,candidatas_con_clusters__3[ticker],candidatas_con_clusters__3[cluster],"No encontrado")</f>
        <v>3</v>
      </c>
    </row>
    <row r="182" spans="1:8" x14ac:dyDescent="0.25">
      <c r="A182" t="s">
        <v>191</v>
      </c>
      <c r="B182" t="s">
        <v>177</v>
      </c>
      <c r="C182">
        <v>0.2447</v>
      </c>
      <c r="D182">
        <v>0.21909999999999999</v>
      </c>
      <c r="E182">
        <v>0</v>
      </c>
      <c r="F182">
        <v>13.5517</v>
      </c>
      <c r="G182">
        <v>0.35389999999999999</v>
      </c>
      <c r="H182">
        <f>_xlfn.XLOOKUP(A182,candidatas_con_clusters__3[ticker],candidatas_con_clusters__3[cluster],"No encontrado")</f>
        <v>3</v>
      </c>
    </row>
    <row r="183" spans="1:8" x14ac:dyDescent="0.25">
      <c r="A183" t="s">
        <v>192</v>
      </c>
      <c r="B183" t="s">
        <v>177</v>
      </c>
      <c r="C183">
        <v>0.24390000000000001</v>
      </c>
      <c r="D183">
        <v>0.13270000000000001</v>
      </c>
      <c r="E183">
        <v>0.91359999999999997</v>
      </c>
      <c r="F183">
        <v>23.809699999999999</v>
      </c>
      <c r="G183">
        <v>0.15840000000000001</v>
      </c>
      <c r="H183">
        <f>_xlfn.XLOOKUP(A183,candidatas_con_clusters__3[ticker],candidatas_con_clusters__3[cluster],"No encontrado")</f>
        <v>1</v>
      </c>
    </row>
    <row r="184" spans="1:8" x14ac:dyDescent="0.25">
      <c r="A184" t="s">
        <v>193</v>
      </c>
      <c r="B184" t="s">
        <v>177</v>
      </c>
      <c r="C184">
        <v>0.23630000000000001</v>
      </c>
      <c r="D184">
        <v>0.1855</v>
      </c>
      <c r="E184">
        <v>0</v>
      </c>
      <c r="F184">
        <v>37.5</v>
      </c>
      <c r="G184">
        <v>0.78120000000000001</v>
      </c>
      <c r="H184">
        <f>_xlfn.XLOOKUP(A184,candidatas_con_clusters__3[ticker],candidatas_con_clusters__3[cluster],"No encontrado")</f>
        <v>0</v>
      </c>
    </row>
    <row r="185" spans="1:8" x14ac:dyDescent="0.25">
      <c r="A185" t="s">
        <v>194</v>
      </c>
      <c r="B185" t="s">
        <v>177</v>
      </c>
      <c r="C185">
        <v>0.22900000000000001</v>
      </c>
      <c r="D185">
        <v>0.2646</v>
      </c>
      <c r="E185">
        <v>0.56630000000000003</v>
      </c>
      <c r="F185">
        <v>22.898700000000002</v>
      </c>
      <c r="G185">
        <v>9.8599999999999993E-2</v>
      </c>
      <c r="H185">
        <f>_xlfn.XLOOKUP(A185,candidatas_con_clusters__3[ticker],candidatas_con_clusters__3[cluster],"No encontrado")</f>
        <v>3</v>
      </c>
    </row>
    <row r="186" spans="1:8" x14ac:dyDescent="0.25">
      <c r="A186" t="s">
        <v>195</v>
      </c>
      <c r="B186" t="s">
        <v>177</v>
      </c>
      <c r="C186">
        <v>0.2273</v>
      </c>
      <c r="D186">
        <v>0.1797</v>
      </c>
      <c r="E186">
        <v>0</v>
      </c>
      <c r="F186">
        <v>28.750599999999999</v>
      </c>
      <c r="G186">
        <v>0.16930000000000001</v>
      </c>
      <c r="H186">
        <f>_xlfn.XLOOKUP(A186,candidatas_con_clusters__3[ticker],candidatas_con_clusters__3[cluster],"No encontrado")</f>
        <v>0</v>
      </c>
    </row>
    <row r="187" spans="1:8" x14ac:dyDescent="0.25">
      <c r="A187" t="s">
        <v>196</v>
      </c>
      <c r="B187" t="s">
        <v>177</v>
      </c>
      <c r="C187">
        <v>0.22700000000000001</v>
      </c>
      <c r="D187">
        <v>0.17949999999999999</v>
      </c>
      <c r="E187">
        <v>0.1502</v>
      </c>
      <c r="F187">
        <v>33.685299999999998</v>
      </c>
      <c r="G187">
        <v>5.2900000000000003E-2</v>
      </c>
      <c r="H187">
        <f>_xlfn.XLOOKUP(A187,candidatas_con_clusters__3[ticker],candidatas_con_clusters__3[cluster],"No encontrado")</f>
        <v>0</v>
      </c>
    </row>
    <row r="188" spans="1:8" x14ac:dyDescent="0.25">
      <c r="A188" t="s">
        <v>197</v>
      </c>
      <c r="B188" t="s">
        <v>177</v>
      </c>
      <c r="C188">
        <v>0.22070000000000001</v>
      </c>
      <c r="D188">
        <v>0.21229999999999999</v>
      </c>
      <c r="E188">
        <v>0</v>
      </c>
      <c r="F188">
        <v>17.590900000000001</v>
      </c>
      <c r="G188">
        <v>0.115</v>
      </c>
      <c r="H188">
        <f>_xlfn.XLOOKUP(A188,candidatas_con_clusters__3[ticker],candidatas_con_clusters__3[cluster],"No encontrado")</f>
        <v>3</v>
      </c>
    </row>
    <row r="189" spans="1:8" x14ac:dyDescent="0.25">
      <c r="A189" t="s">
        <v>198</v>
      </c>
      <c r="B189" t="s">
        <v>177</v>
      </c>
      <c r="C189">
        <v>0.20949999999999999</v>
      </c>
      <c r="D189">
        <v>0.20949999999999999</v>
      </c>
      <c r="E189">
        <v>0.24440000000000001</v>
      </c>
      <c r="F189">
        <v>15.5565</v>
      </c>
      <c r="G189">
        <v>0.06</v>
      </c>
      <c r="H189">
        <f>_xlfn.XLOOKUP(A189,candidatas_con_clusters__3[ticker],candidatas_con_clusters__3[cluster],"No encontrado")</f>
        <v>3</v>
      </c>
    </row>
    <row r="190" spans="1:8" x14ac:dyDescent="0.25">
      <c r="A190" t="s">
        <v>199</v>
      </c>
      <c r="B190" t="s">
        <v>177</v>
      </c>
      <c r="C190">
        <v>0.2087</v>
      </c>
      <c r="D190">
        <v>0.1203</v>
      </c>
      <c r="E190">
        <v>1.2010000000000001</v>
      </c>
      <c r="F190">
        <v>19.678599999999999</v>
      </c>
      <c r="G190">
        <v>6.13E-2</v>
      </c>
      <c r="H190">
        <f>_xlfn.XLOOKUP(A190,candidatas_con_clusters__3[ticker],candidatas_con_clusters__3[cluster],"No encontrado")</f>
        <v>1</v>
      </c>
    </row>
    <row r="191" spans="1:8" x14ac:dyDescent="0.25">
      <c r="A191" t="s">
        <v>200</v>
      </c>
      <c r="B191" t="s">
        <v>177</v>
      </c>
      <c r="C191">
        <v>0.20430000000000001</v>
      </c>
      <c r="D191">
        <v>0.35099999999999998</v>
      </c>
      <c r="E191">
        <v>0</v>
      </c>
      <c r="F191">
        <v>32.128700000000002</v>
      </c>
      <c r="G191">
        <v>0.71699999999999997</v>
      </c>
      <c r="H191">
        <f>_xlfn.XLOOKUP(A191,candidatas_con_clusters__3[ticker],candidatas_con_clusters__3[cluster],"No encontrado")</f>
        <v>2</v>
      </c>
    </row>
    <row r="192" spans="1:8" x14ac:dyDescent="0.25">
      <c r="A192" t="s">
        <v>201</v>
      </c>
      <c r="B192" t="s">
        <v>177</v>
      </c>
      <c r="C192">
        <v>0.2034</v>
      </c>
      <c r="D192">
        <v>0.30080000000000001</v>
      </c>
      <c r="E192">
        <v>0</v>
      </c>
      <c r="F192">
        <v>15.818199999999999</v>
      </c>
      <c r="G192">
        <v>6.5199999999999994E-2</v>
      </c>
      <c r="H192">
        <f>_xlfn.XLOOKUP(A192,candidatas_con_clusters__3[ticker],candidatas_con_clusters__3[cluster],"No encontrado")</f>
        <v>3</v>
      </c>
    </row>
    <row r="193" spans="1:8" x14ac:dyDescent="0.25">
      <c r="A193" t="s">
        <v>202</v>
      </c>
      <c r="B193" t="s">
        <v>177</v>
      </c>
      <c r="C193">
        <v>0.2034</v>
      </c>
      <c r="D193">
        <v>0.40610000000000002</v>
      </c>
      <c r="E193">
        <v>8.7599999999999997E-2</v>
      </c>
      <c r="F193">
        <v>16.823899999999998</v>
      </c>
      <c r="G193">
        <v>0.24729999999999999</v>
      </c>
      <c r="H193">
        <f>_xlfn.XLOOKUP(A193,candidatas_con_clusters__3[ticker],candidatas_con_clusters__3[cluster],"No encontrado")</f>
        <v>2</v>
      </c>
    </row>
    <row r="194" spans="1:8" x14ac:dyDescent="0.25">
      <c r="A194" t="s">
        <v>203</v>
      </c>
      <c r="B194" t="s">
        <v>177</v>
      </c>
      <c r="C194">
        <v>0.19919999999999999</v>
      </c>
      <c r="D194">
        <v>0.22639999999999999</v>
      </c>
      <c r="E194">
        <v>0</v>
      </c>
      <c r="F194">
        <v>41.032600000000002</v>
      </c>
      <c r="G194">
        <v>0.23730000000000001</v>
      </c>
      <c r="H194">
        <f>_xlfn.XLOOKUP(A194,candidatas_con_clusters__3[ticker],candidatas_con_clusters__3[cluster],"No encontrado")</f>
        <v>0</v>
      </c>
    </row>
    <row r="195" spans="1:8" x14ac:dyDescent="0.25">
      <c r="A195" t="s">
        <v>204</v>
      </c>
      <c r="B195" t="s">
        <v>177</v>
      </c>
      <c r="C195">
        <v>0.19819999999999999</v>
      </c>
      <c r="D195">
        <v>0.12659999999999999</v>
      </c>
      <c r="E195">
        <v>2.0299999999999999E-2</v>
      </c>
      <c r="F195">
        <v>19.283999999999999</v>
      </c>
      <c r="G195">
        <v>0.26069999999999999</v>
      </c>
      <c r="H195">
        <f>_xlfn.XLOOKUP(A195,candidatas_con_clusters__3[ticker],candidatas_con_clusters__3[cluster],"No encontrado")</f>
        <v>3</v>
      </c>
    </row>
    <row r="196" spans="1:8" x14ac:dyDescent="0.25">
      <c r="A196" t="s">
        <v>205</v>
      </c>
      <c r="B196" t="s">
        <v>177</v>
      </c>
      <c r="C196">
        <v>0.19769999999999999</v>
      </c>
      <c r="D196">
        <v>0.14879999999999999</v>
      </c>
      <c r="E196">
        <v>0.42830000000000001</v>
      </c>
      <c r="F196">
        <v>13.548400000000001</v>
      </c>
      <c r="G196">
        <v>5.1200000000000002E-2</v>
      </c>
      <c r="H196">
        <f>_xlfn.XLOOKUP(A196,candidatas_con_clusters__3[ticker],candidatas_con_clusters__3[cluster],"No encontrado")</f>
        <v>3</v>
      </c>
    </row>
    <row r="197" spans="1:8" x14ac:dyDescent="0.25">
      <c r="A197" t="s">
        <v>206</v>
      </c>
      <c r="B197" t="s">
        <v>177</v>
      </c>
      <c r="C197">
        <v>0.19600000000000001</v>
      </c>
      <c r="D197">
        <v>0.26400000000000001</v>
      </c>
      <c r="E197">
        <v>0</v>
      </c>
      <c r="F197">
        <v>35.1053</v>
      </c>
      <c r="G197">
        <v>0.13800000000000001</v>
      </c>
      <c r="H197">
        <f>_xlfn.XLOOKUP(A197,candidatas_con_clusters__3[ticker],candidatas_con_clusters__3[cluster],"No encontrado")</f>
        <v>0</v>
      </c>
    </row>
    <row r="198" spans="1:8" x14ac:dyDescent="0.25">
      <c r="A198" t="s">
        <v>207</v>
      </c>
      <c r="B198" t="s">
        <v>177</v>
      </c>
      <c r="C198">
        <v>0.1915</v>
      </c>
      <c r="D198">
        <v>0.26040000000000002</v>
      </c>
      <c r="E198">
        <v>3.4000000000000002E-2</v>
      </c>
      <c r="F198">
        <v>19.459700000000002</v>
      </c>
      <c r="G198">
        <v>0.188</v>
      </c>
      <c r="H198">
        <f>_xlfn.XLOOKUP(A198,candidatas_con_clusters__3[ticker],candidatas_con_clusters__3[cluster],"No encontrado")</f>
        <v>3</v>
      </c>
    </row>
    <row r="199" spans="1:8" x14ac:dyDescent="0.25">
      <c r="A199" t="s">
        <v>208</v>
      </c>
      <c r="B199" t="s">
        <v>177</v>
      </c>
      <c r="C199">
        <v>0.18590000000000001</v>
      </c>
      <c r="D199">
        <v>0.14019999999999999</v>
      </c>
      <c r="E199">
        <v>0.21160000000000001</v>
      </c>
      <c r="F199">
        <v>22.2194</v>
      </c>
      <c r="G199">
        <v>0.16059999999999999</v>
      </c>
      <c r="H199">
        <f>_xlfn.XLOOKUP(A199,candidatas_con_clusters__3[ticker],candidatas_con_clusters__3[cluster],"No encontrado")</f>
        <v>3</v>
      </c>
    </row>
    <row r="200" spans="1:8" x14ac:dyDescent="0.25">
      <c r="A200" t="s">
        <v>209</v>
      </c>
      <c r="B200" t="s">
        <v>177</v>
      </c>
      <c r="C200">
        <v>0.18509999999999999</v>
      </c>
      <c r="D200">
        <v>0.20469999999999999</v>
      </c>
      <c r="E200">
        <v>0.47799999999999998</v>
      </c>
      <c r="F200">
        <v>24</v>
      </c>
      <c r="G200">
        <v>0.221</v>
      </c>
      <c r="H200">
        <f>_xlfn.XLOOKUP(A200,candidatas_con_clusters__3[ticker],candidatas_con_clusters__3[cluster],"No encontrado")</f>
        <v>3</v>
      </c>
    </row>
    <row r="201" spans="1:8" x14ac:dyDescent="0.25">
      <c r="A201" t="s">
        <v>210</v>
      </c>
      <c r="B201" t="s">
        <v>177</v>
      </c>
      <c r="C201">
        <v>0.18479999999999999</v>
      </c>
      <c r="D201">
        <v>0.16639999999999999</v>
      </c>
      <c r="E201">
        <v>0.2384</v>
      </c>
      <c r="F201">
        <v>16.021699999999999</v>
      </c>
      <c r="G201">
        <v>0.1061</v>
      </c>
      <c r="H201">
        <f>_xlfn.XLOOKUP(A201,candidatas_con_clusters__3[ticker],candidatas_con_clusters__3[cluster],"No encontrado")</f>
        <v>3</v>
      </c>
    </row>
    <row r="202" spans="1:8" x14ac:dyDescent="0.25">
      <c r="A202" t="s">
        <v>211</v>
      </c>
      <c r="B202" t="s">
        <v>177</v>
      </c>
      <c r="C202">
        <v>0.18129999999999999</v>
      </c>
      <c r="D202">
        <v>0.44090000000000001</v>
      </c>
      <c r="E202">
        <v>0</v>
      </c>
      <c r="F202">
        <v>22.448599999999999</v>
      </c>
      <c r="G202">
        <v>7.2999999999999995E-2</v>
      </c>
      <c r="H202">
        <f>_xlfn.XLOOKUP(A202,candidatas_con_clusters__3[ticker],candidatas_con_clusters__3[cluster],"No encontrado")</f>
        <v>3</v>
      </c>
    </row>
    <row r="203" spans="1:8" x14ac:dyDescent="0.25">
      <c r="A203" t="s">
        <v>212</v>
      </c>
      <c r="B203" t="s">
        <v>177</v>
      </c>
      <c r="C203">
        <v>0.1807</v>
      </c>
      <c r="D203">
        <v>0.19969999999999999</v>
      </c>
      <c r="E203">
        <v>0</v>
      </c>
      <c r="F203">
        <v>22.6434</v>
      </c>
      <c r="G203">
        <v>0.2787</v>
      </c>
      <c r="H203">
        <f>_xlfn.XLOOKUP(A203,candidatas_con_clusters__3[ticker],candidatas_con_clusters__3[cluster],"No encontrado")</f>
        <v>3</v>
      </c>
    </row>
    <row r="204" spans="1:8" x14ac:dyDescent="0.25">
      <c r="A204" t="s">
        <v>213</v>
      </c>
      <c r="B204" t="s">
        <v>177</v>
      </c>
      <c r="C204">
        <v>0.1804</v>
      </c>
      <c r="D204">
        <v>0.14530000000000001</v>
      </c>
      <c r="E204">
        <v>0.52910000000000001</v>
      </c>
      <c r="F204">
        <v>22.020900000000001</v>
      </c>
      <c r="G204">
        <v>0.11899999999999999</v>
      </c>
      <c r="H204">
        <f>_xlfn.XLOOKUP(A204,candidatas_con_clusters__3[ticker],candidatas_con_clusters__3[cluster],"No encontrado")</f>
        <v>3</v>
      </c>
    </row>
    <row r="205" spans="1:8" x14ac:dyDescent="0.25">
      <c r="A205" t="s">
        <v>214</v>
      </c>
      <c r="B205" t="s">
        <v>177</v>
      </c>
      <c r="C205">
        <v>0.1799</v>
      </c>
      <c r="D205">
        <v>0.25040000000000001</v>
      </c>
      <c r="E205">
        <v>0</v>
      </c>
      <c r="F205">
        <v>20.865200000000002</v>
      </c>
      <c r="G205">
        <v>0.1522</v>
      </c>
      <c r="H205">
        <f>_xlfn.XLOOKUP(A205,candidatas_con_clusters__3[ticker],candidatas_con_clusters__3[cluster],"No encontrado")</f>
        <v>3</v>
      </c>
    </row>
    <row r="206" spans="1:8" x14ac:dyDescent="0.25">
      <c r="A206" t="s">
        <v>215</v>
      </c>
      <c r="B206" t="s">
        <v>177</v>
      </c>
      <c r="C206">
        <v>0.16880000000000001</v>
      </c>
      <c r="D206">
        <v>9.6799999999999997E-2</v>
      </c>
      <c r="E206">
        <v>0.30940000000000001</v>
      </c>
      <c r="F206">
        <v>19.388400000000001</v>
      </c>
      <c r="G206">
        <v>5.5100000000000003E-2</v>
      </c>
      <c r="H206">
        <f>_xlfn.XLOOKUP(A206,candidatas_con_clusters__3[ticker],candidatas_con_clusters__3[cluster],"No encontrado")</f>
        <v>3</v>
      </c>
    </row>
    <row r="207" spans="1:8" x14ac:dyDescent="0.25">
      <c r="A207" t="s">
        <v>216</v>
      </c>
      <c r="B207" t="s">
        <v>177</v>
      </c>
      <c r="C207">
        <v>0.16500000000000001</v>
      </c>
      <c r="D207">
        <v>0.28489999999999999</v>
      </c>
      <c r="E207">
        <v>0</v>
      </c>
      <c r="F207">
        <v>29.5214</v>
      </c>
      <c r="G207">
        <v>0.3861</v>
      </c>
      <c r="H207">
        <f>_xlfn.XLOOKUP(A207,candidatas_con_clusters__3[ticker],candidatas_con_clusters__3[cluster],"No encontrado")</f>
        <v>0</v>
      </c>
    </row>
    <row r="208" spans="1:8" x14ac:dyDescent="0.25">
      <c r="A208" t="s">
        <v>217</v>
      </c>
      <c r="B208" t="s">
        <v>177</v>
      </c>
      <c r="C208">
        <v>0.16470000000000001</v>
      </c>
      <c r="D208">
        <v>0.18890000000000001</v>
      </c>
      <c r="E208">
        <v>4.0000000000000002E-4</v>
      </c>
      <c r="F208">
        <v>19.520800000000001</v>
      </c>
      <c r="G208">
        <v>0.18279999999999999</v>
      </c>
      <c r="H208">
        <f>_xlfn.XLOOKUP(A208,candidatas_con_clusters__3[ticker],candidatas_con_clusters__3[cluster],"No encontrado")</f>
        <v>3</v>
      </c>
    </row>
    <row r="209" spans="1:8" x14ac:dyDescent="0.25">
      <c r="A209" t="s">
        <v>218</v>
      </c>
      <c r="B209" t="s">
        <v>177</v>
      </c>
      <c r="C209">
        <v>0.1641</v>
      </c>
      <c r="D209">
        <v>0.1628</v>
      </c>
      <c r="E209">
        <v>0</v>
      </c>
      <c r="F209">
        <v>34.440899999999999</v>
      </c>
      <c r="G209">
        <v>0.30180000000000001</v>
      </c>
      <c r="H209">
        <f>_xlfn.XLOOKUP(A209,candidatas_con_clusters__3[ticker],candidatas_con_clusters__3[cluster],"No encontrado")</f>
        <v>0</v>
      </c>
    </row>
    <row r="210" spans="1:8" x14ac:dyDescent="0.25">
      <c r="A210" t="s">
        <v>219</v>
      </c>
      <c r="B210" t="s">
        <v>177</v>
      </c>
      <c r="C210">
        <v>0.16089999999999999</v>
      </c>
      <c r="D210">
        <v>0.13730000000000001</v>
      </c>
      <c r="E210">
        <v>0</v>
      </c>
      <c r="F210">
        <v>16.773599999999998</v>
      </c>
      <c r="G210">
        <v>7.3999999999999996E-2</v>
      </c>
      <c r="H210">
        <f>_xlfn.XLOOKUP(A210,candidatas_con_clusters__3[ticker],candidatas_con_clusters__3[cluster],"No encontrado")</f>
        <v>3</v>
      </c>
    </row>
    <row r="211" spans="1:8" x14ac:dyDescent="0.25">
      <c r="A211" t="s">
        <v>220</v>
      </c>
      <c r="B211" t="s">
        <v>177</v>
      </c>
      <c r="C211">
        <v>0.1603</v>
      </c>
      <c r="D211">
        <v>8.1199999999999994E-2</v>
      </c>
      <c r="E211">
        <v>0.76300000000000001</v>
      </c>
      <c r="F211">
        <v>13.6806</v>
      </c>
      <c r="G211">
        <v>0.2074</v>
      </c>
      <c r="H211">
        <f>_xlfn.XLOOKUP(A211,candidatas_con_clusters__3[ticker],candidatas_con_clusters__3[cluster],"No encontrado")</f>
        <v>3</v>
      </c>
    </row>
    <row r="212" spans="1:8" x14ac:dyDescent="0.25">
      <c r="A212" t="s">
        <v>221</v>
      </c>
      <c r="B212" t="s">
        <v>177</v>
      </c>
      <c r="C212">
        <v>0.15329999999999999</v>
      </c>
      <c r="D212">
        <v>0.16059999999999999</v>
      </c>
      <c r="E212">
        <v>0</v>
      </c>
      <c r="F212">
        <v>14.6226</v>
      </c>
      <c r="G212">
        <v>0.126</v>
      </c>
      <c r="H212">
        <f>_xlfn.XLOOKUP(A212,candidatas_con_clusters__3[ticker],candidatas_con_clusters__3[cluster],"No encontrado")</f>
        <v>3</v>
      </c>
    </row>
    <row r="213" spans="1:8" x14ac:dyDescent="0.25">
      <c r="A213" t="s">
        <v>222</v>
      </c>
      <c r="B213" t="s">
        <v>177</v>
      </c>
      <c r="C213">
        <v>0.15160000000000001</v>
      </c>
      <c r="D213">
        <v>0.20760000000000001</v>
      </c>
      <c r="E213">
        <v>0.72389999999999999</v>
      </c>
      <c r="F213">
        <v>23.8462</v>
      </c>
      <c r="G213">
        <v>0.1502</v>
      </c>
      <c r="H213">
        <f>_xlfn.XLOOKUP(A213,candidatas_con_clusters__3[ticker],candidatas_con_clusters__3[cluster],"No encontrado")</f>
        <v>3</v>
      </c>
    </row>
    <row r="214" spans="1:8" x14ac:dyDescent="0.25">
      <c r="A214" t="s">
        <v>223</v>
      </c>
      <c r="B214" t="s">
        <v>177</v>
      </c>
      <c r="C214">
        <v>0.1507</v>
      </c>
      <c r="D214">
        <v>8.6599999999999996E-2</v>
      </c>
      <c r="E214">
        <v>0.67390000000000005</v>
      </c>
      <c r="F214">
        <v>13.454800000000001</v>
      </c>
      <c r="G214">
        <v>9.9000000000000005E-2</v>
      </c>
      <c r="H214">
        <f>_xlfn.XLOOKUP(A214,candidatas_con_clusters__3[ticker],candidatas_con_clusters__3[cluster],"No encontrado")</f>
        <v>3</v>
      </c>
    </row>
    <row r="215" spans="1:8" x14ac:dyDescent="0.25">
      <c r="A215" t="s">
        <v>224</v>
      </c>
      <c r="B215" t="s">
        <v>177</v>
      </c>
      <c r="C215">
        <v>0.15010000000000001</v>
      </c>
      <c r="D215">
        <v>9.5399999999999999E-2</v>
      </c>
      <c r="E215">
        <v>0</v>
      </c>
      <c r="F215">
        <v>32.263500000000001</v>
      </c>
      <c r="G215">
        <v>0.31509999999999999</v>
      </c>
      <c r="H215">
        <f>_xlfn.XLOOKUP(A215,candidatas_con_clusters__3[ticker],candidatas_con_clusters__3[cluster],"No encontrado")</f>
        <v>0</v>
      </c>
    </row>
    <row r="216" spans="1:8" x14ac:dyDescent="0.25">
      <c r="A216" t="s">
        <v>225</v>
      </c>
      <c r="B216" t="s">
        <v>177</v>
      </c>
      <c r="C216">
        <v>0.1462</v>
      </c>
      <c r="D216">
        <v>0.1537</v>
      </c>
      <c r="E216">
        <v>1.6000000000000001E-3</v>
      </c>
      <c r="F216">
        <v>17.916699999999999</v>
      </c>
      <c r="G216">
        <v>0.28410000000000002</v>
      </c>
      <c r="H216">
        <f>_xlfn.XLOOKUP(A216,candidatas_con_clusters__3[ticker],candidatas_con_clusters__3[cluster],"No encontrado")</f>
        <v>3</v>
      </c>
    </row>
    <row r="217" spans="1:8" x14ac:dyDescent="0.25">
      <c r="A217" t="s">
        <v>226</v>
      </c>
      <c r="B217" t="s">
        <v>177</v>
      </c>
      <c r="C217">
        <v>0.14530000000000001</v>
      </c>
      <c r="D217">
        <v>0.113</v>
      </c>
      <c r="E217">
        <v>0</v>
      </c>
      <c r="F217">
        <v>14.8</v>
      </c>
      <c r="G217">
        <v>9.9900000000000003E-2</v>
      </c>
      <c r="H217">
        <f>_xlfn.XLOOKUP(A217,candidatas_con_clusters__3[ticker],candidatas_con_clusters__3[cluster],"No encontrado")</f>
        <v>3</v>
      </c>
    </row>
    <row r="218" spans="1:8" x14ac:dyDescent="0.25">
      <c r="A218" t="s">
        <v>227</v>
      </c>
      <c r="B218" t="s">
        <v>177</v>
      </c>
      <c r="C218">
        <v>0.1399</v>
      </c>
      <c r="D218">
        <v>0.17069999999999999</v>
      </c>
      <c r="E218">
        <v>0.25650000000000001</v>
      </c>
      <c r="F218">
        <v>34.578499999999998</v>
      </c>
      <c r="G218">
        <v>0.13539999999999999</v>
      </c>
      <c r="H218">
        <f>_xlfn.XLOOKUP(A218,candidatas_con_clusters__3[ticker],candidatas_con_clusters__3[cluster],"No encontrado")</f>
        <v>0</v>
      </c>
    </row>
    <row r="219" spans="1:8" x14ac:dyDescent="0.25">
      <c r="A219" t="s">
        <v>228</v>
      </c>
      <c r="B219" t="s">
        <v>177</v>
      </c>
      <c r="C219">
        <v>0.13850000000000001</v>
      </c>
      <c r="D219">
        <v>0.10929999999999999</v>
      </c>
      <c r="E219">
        <v>0</v>
      </c>
      <c r="F219">
        <v>47.757399999999997</v>
      </c>
      <c r="G219">
        <v>0.1825</v>
      </c>
      <c r="H219">
        <f>_xlfn.XLOOKUP(A219,candidatas_con_clusters__3[ticker],candidatas_con_clusters__3[cluster],"No encontrado")</f>
        <v>0</v>
      </c>
    </row>
    <row r="220" spans="1:8" x14ac:dyDescent="0.25">
      <c r="A220" t="s">
        <v>229</v>
      </c>
      <c r="B220" t="s">
        <v>177</v>
      </c>
      <c r="C220">
        <v>0.13850000000000001</v>
      </c>
      <c r="D220">
        <v>8.14E-2</v>
      </c>
      <c r="E220">
        <v>0.3543</v>
      </c>
      <c r="F220">
        <v>28.5337</v>
      </c>
      <c r="G220">
        <v>9.1700000000000004E-2</v>
      </c>
      <c r="H220">
        <f>_xlfn.XLOOKUP(A220,candidatas_con_clusters__3[ticker],candidatas_con_clusters__3[cluster],"No encontrado")</f>
        <v>0</v>
      </c>
    </row>
    <row r="221" spans="1:8" x14ac:dyDescent="0.25">
      <c r="A221" t="s">
        <v>230</v>
      </c>
      <c r="B221" t="s">
        <v>177</v>
      </c>
      <c r="C221">
        <v>0.13619999999999999</v>
      </c>
      <c r="D221">
        <v>0.1182</v>
      </c>
      <c r="E221">
        <v>0.2475</v>
      </c>
      <c r="F221">
        <v>23.909099999999999</v>
      </c>
      <c r="G221">
        <v>0.2082</v>
      </c>
      <c r="H221">
        <f>_xlfn.XLOOKUP(A221,candidatas_con_clusters__3[ticker],candidatas_con_clusters__3[cluster],"No encontrado")</f>
        <v>3</v>
      </c>
    </row>
    <row r="222" spans="1:8" x14ac:dyDescent="0.25">
      <c r="A222" t="s">
        <v>231</v>
      </c>
      <c r="B222" t="s">
        <v>177</v>
      </c>
      <c r="C222">
        <v>0.1361</v>
      </c>
      <c r="D222">
        <v>0.2142</v>
      </c>
      <c r="E222">
        <v>5.04E-2</v>
      </c>
      <c r="F222">
        <v>25.378299999999999</v>
      </c>
      <c r="G222">
        <v>0.1888</v>
      </c>
      <c r="H222">
        <f>_xlfn.XLOOKUP(A222,candidatas_con_clusters__3[ticker],candidatas_con_clusters__3[cluster],"No encontrado")</f>
        <v>3</v>
      </c>
    </row>
    <row r="223" spans="1:8" x14ac:dyDescent="0.25">
      <c r="A223" t="s">
        <v>232</v>
      </c>
      <c r="B223" t="s">
        <v>177</v>
      </c>
      <c r="C223">
        <v>0.1348</v>
      </c>
      <c r="D223">
        <v>0.11509999999999999</v>
      </c>
      <c r="E223">
        <v>0.26829999999999998</v>
      </c>
      <c r="F223">
        <v>22.777000000000001</v>
      </c>
      <c r="G223">
        <v>0.1242</v>
      </c>
      <c r="H223">
        <f>_xlfn.XLOOKUP(A223,candidatas_con_clusters__3[ticker],candidatas_con_clusters__3[cluster],"No encontrado")</f>
        <v>3</v>
      </c>
    </row>
    <row r="224" spans="1:8" x14ac:dyDescent="0.25">
      <c r="A224" t="s">
        <v>233</v>
      </c>
      <c r="B224" t="s">
        <v>177</v>
      </c>
      <c r="C224">
        <v>0.13289999999999999</v>
      </c>
      <c r="D224">
        <v>0.1343</v>
      </c>
      <c r="E224">
        <v>0.80359999999999998</v>
      </c>
      <c r="F224">
        <v>26.340699999999998</v>
      </c>
      <c r="G224">
        <v>0.19170000000000001</v>
      </c>
      <c r="H224">
        <f>_xlfn.XLOOKUP(A224,candidatas_con_clusters__3[ticker],candidatas_con_clusters__3[cluster],"No encontrado")</f>
        <v>3</v>
      </c>
    </row>
    <row r="225" spans="1:8" x14ac:dyDescent="0.25">
      <c r="A225" t="s">
        <v>234</v>
      </c>
      <c r="B225" t="s">
        <v>177</v>
      </c>
      <c r="C225">
        <v>0.1323</v>
      </c>
      <c r="D225">
        <v>0.21970000000000001</v>
      </c>
      <c r="E225">
        <v>0.18340000000000001</v>
      </c>
      <c r="F225">
        <v>24.7363</v>
      </c>
      <c r="G225">
        <v>8.77E-2</v>
      </c>
      <c r="H225">
        <f>_xlfn.XLOOKUP(A225,candidatas_con_clusters__3[ticker],candidatas_con_clusters__3[cluster],"No encontrado")</f>
        <v>3</v>
      </c>
    </row>
    <row r="226" spans="1:8" x14ac:dyDescent="0.25">
      <c r="A226" t="s">
        <v>235</v>
      </c>
      <c r="B226" t="s">
        <v>177</v>
      </c>
      <c r="C226">
        <v>0.12989999999999999</v>
      </c>
      <c r="D226">
        <v>0.15459999999999999</v>
      </c>
      <c r="E226">
        <v>0</v>
      </c>
      <c r="F226">
        <v>15.279400000000001</v>
      </c>
      <c r="G226">
        <v>8.1699999999999995E-2</v>
      </c>
      <c r="H226">
        <f>_xlfn.XLOOKUP(A226,candidatas_con_clusters__3[ticker],candidatas_con_clusters__3[cluster],"No encontrado")</f>
        <v>3</v>
      </c>
    </row>
    <row r="227" spans="1:8" x14ac:dyDescent="0.25">
      <c r="A227" t="s">
        <v>236</v>
      </c>
      <c r="B227" t="s">
        <v>177</v>
      </c>
      <c r="C227">
        <v>0.12870000000000001</v>
      </c>
      <c r="D227">
        <v>0.16880000000000001</v>
      </c>
      <c r="E227">
        <v>2.5000000000000001E-3</v>
      </c>
      <c r="F227">
        <v>17.4026</v>
      </c>
      <c r="G227">
        <v>7.7200000000000005E-2</v>
      </c>
      <c r="H227">
        <f>_xlfn.XLOOKUP(A227,candidatas_con_clusters__3[ticker],candidatas_con_clusters__3[cluster],"No encontrado")</f>
        <v>3</v>
      </c>
    </row>
    <row r="228" spans="1:8" x14ac:dyDescent="0.25">
      <c r="A228" t="s">
        <v>237</v>
      </c>
      <c r="B228" t="s">
        <v>177</v>
      </c>
      <c r="C228">
        <v>0.1268</v>
      </c>
      <c r="D228">
        <v>0.1153</v>
      </c>
      <c r="E228">
        <v>1.2200000000000001E-2</v>
      </c>
      <c r="F228">
        <v>21.831</v>
      </c>
      <c r="G228">
        <v>7.4499999999999997E-2</v>
      </c>
      <c r="H228">
        <f>_xlfn.XLOOKUP(A228,candidatas_con_clusters__3[ticker],candidatas_con_clusters__3[cluster],"No encontrado")</f>
        <v>3</v>
      </c>
    </row>
    <row r="229" spans="1:8" x14ac:dyDescent="0.25">
      <c r="A229" t="s">
        <v>238</v>
      </c>
      <c r="B229" t="s">
        <v>177</v>
      </c>
      <c r="C229">
        <v>0.12570000000000001</v>
      </c>
      <c r="D229">
        <v>0.13719999999999999</v>
      </c>
      <c r="E229">
        <v>0.26550000000000001</v>
      </c>
      <c r="F229">
        <v>17.599</v>
      </c>
      <c r="G229">
        <v>0.2802</v>
      </c>
      <c r="H229">
        <f>_xlfn.XLOOKUP(A229,candidatas_con_clusters__3[ticker],candidatas_con_clusters__3[cluster],"No encontrado")</f>
        <v>3</v>
      </c>
    </row>
    <row r="230" spans="1:8" x14ac:dyDescent="0.25">
      <c r="A230" t="s">
        <v>239</v>
      </c>
      <c r="B230" t="s">
        <v>177</v>
      </c>
      <c r="C230">
        <v>0.12429999999999999</v>
      </c>
      <c r="D230">
        <v>0.11849999999999999</v>
      </c>
      <c r="E230">
        <v>6.1800000000000001E-2</v>
      </c>
      <c r="F230">
        <v>17.313199999999998</v>
      </c>
      <c r="G230">
        <v>6.5100000000000005E-2</v>
      </c>
      <c r="H230">
        <f>_xlfn.XLOOKUP(A230,candidatas_con_clusters__3[ticker],candidatas_con_clusters__3[cluster],"No encontrado")</f>
        <v>3</v>
      </c>
    </row>
    <row r="231" spans="1:8" x14ac:dyDescent="0.25">
      <c r="A231" t="s">
        <v>240</v>
      </c>
      <c r="B231" t="s">
        <v>177</v>
      </c>
      <c r="C231">
        <v>0.124</v>
      </c>
      <c r="D231">
        <v>0.1179</v>
      </c>
      <c r="E231">
        <v>7.6600000000000001E-2</v>
      </c>
      <c r="F231">
        <v>42.788699999999999</v>
      </c>
      <c r="G231">
        <v>0.61699999999999999</v>
      </c>
      <c r="H231">
        <f>_xlfn.XLOOKUP(A231,candidatas_con_clusters__3[ticker],candidatas_con_clusters__3[cluster],"No encontrado")</f>
        <v>0</v>
      </c>
    </row>
    <row r="232" spans="1:8" x14ac:dyDescent="0.25">
      <c r="A232" t="s">
        <v>241</v>
      </c>
      <c r="B232" t="s">
        <v>177</v>
      </c>
      <c r="C232">
        <v>0.12</v>
      </c>
      <c r="D232">
        <v>0.12379999999999999</v>
      </c>
      <c r="E232">
        <v>0</v>
      </c>
      <c r="F232">
        <v>31.579799999999999</v>
      </c>
      <c r="G232">
        <v>0.13150000000000001</v>
      </c>
      <c r="H232">
        <f>_xlfn.XLOOKUP(A232,candidatas_con_clusters__3[ticker],candidatas_con_clusters__3[cluster],"No encontrado")</f>
        <v>0</v>
      </c>
    </row>
    <row r="233" spans="1:8" x14ac:dyDescent="0.25">
      <c r="A233" t="s">
        <v>242</v>
      </c>
      <c r="B233" t="s">
        <v>177</v>
      </c>
      <c r="C233">
        <v>0.1169</v>
      </c>
      <c r="D233">
        <v>0.14680000000000001</v>
      </c>
      <c r="E233">
        <v>0.19789999999999999</v>
      </c>
      <c r="F233">
        <v>40.058300000000003</v>
      </c>
      <c r="G233">
        <v>0.159</v>
      </c>
      <c r="H233">
        <f>_xlfn.XLOOKUP(A233,candidatas_con_clusters__3[ticker],candidatas_con_clusters__3[cluster],"No encontrado")</f>
        <v>0</v>
      </c>
    </row>
    <row r="234" spans="1:8" x14ac:dyDescent="0.25">
      <c r="A234" t="s">
        <v>243</v>
      </c>
      <c r="B234" t="s">
        <v>177</v>
      </c>
      <c r="C234">
        <v>0.1162</v>
      </c>
      <c r="D234">
        <v>9.3600000000000003E-2</v>
      </c>
      <c r="E234">
        <v>0</v>
      </c>
      <c r="F234">
        <v>30.3095</v>
      </c>
      <c r="G234">
        <v>8.7900000000000006E-2</v>
      </c>
      <c r="H234">
        <f>_xlfn.XLOOKUP(A234,candidatas_con_clusters__3[ticker],candidatas_con_clusters__3[cluster],"No encontrado")</f>
        <v>0</v>
      </c>
    </row>
    <row r="235" spans="1:8" x14ac:dyDescent="0.25">
      <c r="A235" t="s">
        <v>244</v>
      </c>
      <c r="B235" t="s">
        <v>177</v>
      </c>
      <c r="C235">
        <v>0.1158</v>
      </c>
      <c r="D235">
        <v>8.0100000000000005E-2</v>
      </c>
      <c r="E235">
        <v>0.5948</v>
      </c>
      <c r="F235">
        <v>34.327199999999998</v>
      </c>
      <c r="G235">
        <v>7.6899999999999996E-2</v>
      </c>
      <c r="H235">
        <f>_xlfn.XLOOKUP(A235,candidatas_con_clusters__3[ticker],candidatas_con_clusters__3[cluster],"No encontrado")</f>
        <v>0</v>
      </c>
    </row>
    <row r="236" spans="1:8" x14ac:dyDescent="0.25">
      <c r="A236" t="s">
        <v>245</v>
      </c>
      <c r="B236" t="s">
        <v>177</v>
      </c>
      <c r="C236">
        <v>0.1149</v>
      </c>
      <c r="D236">
        <v>0.27210000000000001</v>
      </c>
      <c r="E236">
        <v>0</v>
      </c>
      <c r="F236">
        <v>29.602900000000002</v>
      </c>
      <c r="G236">
        <v>8.6800000000000002E-2</v>
      </c>
      <c r="H236">
        <f>_xlfn.XLOOKUP(A236,candidatas_con_clusters__3[ticker],candidatas_con_clusters__3[cluster],"No encontrado")</f>
        <v>0</v>
      </c>
    </row>
    <row r="237" spans="1:8" x14ac:dyDescent="0.25">
      <c r="A237" t="s">
        <v>246</v>
      </c>
      <c r="B237" t="s">
        <v>177</v>
      </c>
      <c r="C237">
        <v>0.11459999999999999</v>
      </c>
      <c r="D237">
        <v>0.2545</v>
      </c>
      <c r="E237">
        <v>0.1512</v>
      </c>
      <c r="F237">
        <v>12.5989</v>
      </c>
      <c r="G237">
        <v>0.24249999999999999</v>
      </c>
      <c r="H237">
        <f>_xlfn.XLOOKUP(A237,candidatas_con_clusters__3[ticker],candidatas_con_clusters__3[cluster],"No encontrado")</f>
        <v>3</v>
      </c>
    </row>
    <row r="238" spans="1:8" x14ac:dyDescent="0.25">
      <c r="A238" t="s">
        <v>247</v>
      </c>
      <c r="B238" t="s">
        <v>177</v>
      </c>
      <c r="C238">
        <v>0.1134</v>
      </c>
      <c r="D238">
        <v>0.17</v>
      </c>
      <c r="E238">
        <v>0.2054</v>
      </c>
      <c r="F238">
        <v>33.668399999999998</v>
      </c>
      <c r="G238">
        <v>0.24460000000000001</v>
      </c>
      <c r="H238">
        <f>_xlfn.XLOOKUP(A238,candidatas_con_clusters__3[ticker],candidatas_con_clusters__3[cluster],"No encontrado")</f>
        <v>0</v>
      </c>
    </row>
    <row r="239" spans="1:8" x14ac:dyDescent="0.25">
      <c r="A239" t="s">
        <v>248</v>
      </c>
      <c r="B239" t="s">
        <v>177</v>
      </c>
      <c r="C239">
        <v>0.11310000000000001</v>
      </c>
      <c r="D239">
        <v>0.1016</v>
      </c>
      <c r="E239">
        <v>0</v>
      </c>
      <c r="F239">
        <v>31.404</v>
      </c>
      <c r="G239">
        <v>6.08E-2</v>
      </c>
      <c r="H239">
        <f>_xlfn.XLOOKUP(A239,candidatas_con_clusters__3[ticker],candidatas_con_clusters__3[cluster],"No encontrado")</f>
        <v>0</v>
      </c>
    </row>
    <row r="240" spans="1:8" x14ac:dyDescent="0.25">
      <c r="A240" t="s">
        <v>249</v>
      </c>
      <c r="B240" t="s">
        <v>177</v>
      </c>
      <c r="C240">
        <v>0.107</v>
      </c>
      <c r="D240">
        <v>0.12690000000000001</v>
      </c>
      <c r="E240">
        <v>0</v>
      </c>
      <c r="F240">
        <v>28.444400000000002</v>
      </c>
      <c r="G240">
        <v>9.0700000000000003E-2</v>
      </c>
      <c r="H240">
        <f>_xlfn.XLOOKUP(A240,candidatas_con_clusters__3[ticker],candidatas_con_clusters__3[cluster],"No encontrado")</f>
        <v>0</v>
      </c>
    </row>
    <row r="241" spans="1:8" x14ac:dyDescent="0.25">
      <c r="A241" t="s">
        <v>250</v>
      </c>
      <c r="B241" t="s">
        <v>177</v>
      </c>
      <c r="C241">
        <v>0.107</v>
      </c>
      <c r="D241">
        <v>0.14829999999999999</v>
      </c>
      <c r="E241">
        <v>0</v>
      </c>
      <c r="F241">
        <v>16.866399999999999</v>
      </c>
      <c r="G241">
        <v>0.16650000000000001</v>
      </c>
      <c r="H241">
        <f>_xlfn.XLOOKUP(A241,candidatas_con_clusters__3[ticker],candidatas_con_clusters__3[cluster],"No encontrado")</f>
        <v>3</v>
      </c>
    </row>
    <row r="242" spans="1:8" x14ac:dyDescent="0.25">
      <c r="A242" t="s">
        <v>251</v>
      </c>
      <c r="B242" t="s">
        <v>177</v>
      </c>
      <c r="C242">
        <v>0.1036</v>
      </c>
      <c r="D242">
        <v>0.10589999999999999</v>
      </c>
      <c r="E242">
        <v>0.77290000000000003</v>
      </c>
      <c r="F242">
        <v>26.134499999999999</v>
      </c>
      <c r="G242">
        <v>5.7700000000000001E-2</v>
      </c>
      <c r="H242">
        <f>_xlfn.XLOOKUP(A242,candidatas_con_clusters__3[ticker],candidatas_con_clusters__3[cluster],"No encontrado")</f>
        <v>3</v>
      </c>
    </row>
    <row r="243" spans="1:8" x14ac:dyDescent="0.25">
      <c r="A243" t="s">
        <v>252</v>
      </c>
      <c r="B243" t="s">
        <v>177</v>
      </c>
      <c r="C243">
        <v>0.10009999999999999</v>
      </c>
      <c r="D243">
        <v>8.2299999999999998E-2</v>
      </c>
      <c r="E243">
        <v>0</v>
      </c>
      <c r="F243">
        <v>12.8788</v>
      </c>
      <c r="G243">
        <v>6.0100000000000001E-2</v>
      </c>
      <c r="H243">
        <f>_xlfn.XLOOKUP(A243,candidatas_con_clusters__3[ticker],candidatas_con_clusters__3[cluster],"No encontrado")</f>
        <v>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38008-F528-4F27-804D-C556F10057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clusters</vt:lpstr>
      <vt:lpstr>cartera</vt:lpstr>
      <vt:lpstr>candidatas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ACUS NERVUS</cp:lastModifiedBy>
  <dcterms:created xsi:type="dcterms:W3CDTF">2026-06-26T12:36:00Z</dcterms:created>
  <dcterms:modified xsi:type="dcterms:W3CDTF">2026-06-29T13:49:23Z</dcterms:modified>
</cp:coreProperties>
</file>